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3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1075" windowHeight="10035" tabRatio="930" firstSheet="9" activeTab="15"/>
  </bookViews>
  <sheets>
    <sheet name="Login" sheetId="4" r:id="rId1"/>
    <sheet name="Projects" sheetId="6" r:id="rId2"/>
    <sheet name="Add Project" sheetId="13" r:id="rId3"/>
    <sheet name="Sites" sheetId="8" r:id="rId4"/>
    <sheet name="Add Site" sheetId="14" r:id="rId5"/>
    <sheet name="SE03XC438" sheetId="9" r:id="rId6"/>
    <sheet name="SP-MOD-003-WA - Milestones" sheetId="7" r:id="rId7"/>
    <sheet name="SP-MOD-003-WA - Header" sheetId="10" r:id="rId8"/>
    <sheet name="SAP Submitted - Docs" sheetId="12" r:id="rId9"/>
    <sheet name="Orders" sheetId="15" r:id="rId10"/>
    <sheet name="1014 - Bid Details" sheetId="16" r:id="rId11"/>
    <sheet name="1014 - Bid Header" sheetId="17" r:id="rId12"/>
    <sheet name="1014 - PO Details" sheetId="19" r:id="rId13"/>
    <sheet name="1014 - PO Header" sheetId="18" r:id="rId14"/>
    <sheet name="SP-MOD-003-WA - Docs" sheetId="20" r:id="rId15"/>
    <sheet name="Milestone List and Forecasts" sheetId="1" r:id="rId16"/>
    <sheet name="Dependencies and Lead-Times" sheetId="2" r:id="rId17"/>
    <sheet name="Time Constraints" sheetId="3" r:id="rId18"/>
  </sheets>
  <calcPr calcId="145621"/>
</workbook>
</file>

<file path=xl/calcChain.xml><?xml version="1.0" encoding="utf-8"?>
<calcChain xmlns="http://schemas.openxmlformats.org/spreadsheetml/2006/main">
  <c r="S18" i="7" l="1"/>
  <c r="D44" i="2" l="1"/>
  <c r="D45" i="2"/>
  <c r="D46" i="2"/>
  <c r="D47" i="2"/>
  <c r="I20" i="19"/>
  <c r="L19" i="19"/>
  <c r="L18" i="19"/>
  <c r="L17" i="19"/>
  <c r="L16" i="19"/>
  <c r="L15" i="19"/>
  <c r="L11" i="19" s="1"/>
  <c r="L14" i="19"/>
  <c r="G20" i="16"/>
  <c r="J19" i="16"/>
  <c r="J18" i="16"/>
  <c r="J17" i="16"/>
  <c r="J16" i="16"/>
  <c r="J15" i="16"/>
  <c r="J14" i="16"/>
  <c r="J11" i="16" l="1"/>
  <c r="S45" i="7" l="1"/>
  <c r="S44" i="7"/>
  <c r="S43" i="7"/>
  <c r="S42" i="7"/>
  <c r="S41" i="7"/>
  <c r="S40" i="7"/>
  <c r="S39" i="7"/>
  <c r="S38" i="7"/>
  <c r="S37" i="7"/>
  <c r="S36" i="7"/>
  <c r="S35" i="7"/>
  <c r="S34" i="7"/>
  <c r="S33" i="7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6" i="7"/>
  <c r="S15" i="7"/>
  <c r="S14" i="7"/>
  <c r="S13" i="7"/>
  <c r="S12" i="7"/>
  <c r="Q45" i="7"/>
  <c r="Q44" i="7"/>
  <c r="Q43" i="7"/>
  <c r="Q42" i="7"/>
  <c r="Q41" i="7"/>
  <c r="Q40" i="7"/>
  <c r="Q39" i="7"/>
  <c r="Q38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E13" i="7" l="1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12" i="7"/>
  <c r="F24" i="1" l="1"/>
  <c r="O29" i="7" s="1"/>
  <c r="F25" i="1"/>
  <c r="O30" i="7" s="1"/>
  <c r="F26" i="1"/>
  <c r="O31" i="7" s="1"/>
  <c r="D25" i="2"/>
  <c r="D26" i="2"/>
  <c r="D27" i="2"/>
  <c r="D24" i="1"/>
  <c r="D25" i="1"/>
  <c r="D26" i="1"/>
  <c r="D12" i="2" l="1"/>
  <c r="F14" i="1"/>
  <c r="O19" i="7" s="1"/>
  <c r="D14" i="1"/>
  <c r="D20" i="2" l="1"/>
  <c r="D15" i="2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2" i="1"/>
  <c r="D23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7" i="1"/>
  <c r="D7" i="2"/>
  <c r="D8" i="2"/>
  <c r="D9" i="2"/>
  <c r="D10" i="2"/>
  <c r="D11" i="2"/>
  <c r="D13" i="2"/>
  <c r="D14" i="2"/>
  <c r="D16" i="2"/>
  <c r="D17" i="2"/>
  <c r="D18" i="2"/>
  <c r="D19" i="2"/>
  <c r="D21" i="2"/>
  <c r="D22" i="2"/>
  <c r="D23" i="2"/>
  <c r="D24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F9" i="1" l="1"/>
  <c r="O14" i="7" s="1"/>
  <c r="F10" i="1"/>
  <c r="O15" i="7" s="1"/>
  <c r="F11" i="1"/>
  <c r="O16" i="7" s="1"/>
  <c r="F12" i="1"/>
  <c r="O17" i="7" s="1"/>
  <c r="F13" i="1"/>
  <c r="O18" i="7" s="1"/>
  <c r="F15" i="1"/>
  <c r="O20" i="7" s="1"/>
  <c r="F16" i="1"/>
  <c r="O21" i="7" s="1"/>
  <c r="F17" i="1"/>
  <c r="O22" i="7" s="1"/>
  <c r="F18" i="1"/>
  <c r="O23" i="7" s="1"/>
  <c r="F19" i="1"/>
  <c r="O24" i="7" s="1"/>
  <c r="F20" i="1"/>
  <c r="O25" i="7" s="1"/>
  <c r="F21" i="1"/>
  <c r="O26" i="7" s="1"/>
  <c r="F22" i="1"/>
  <c r="O27" i="7" s="1"/>
  <c r="F23" i="1"/>
  <c r="O28" i="7" s="1"/>
  <c r="F27" i="1"/>
  <c r="O32" i="7" s="1"/>
  <c r="F28" i="1"/>
  <c r="O33" i="7" s="1"/>
  <c r="F29" i="1"/>
  <c r="O34" i="7" s="1"/>
  <c r="F30" i="1"/>
  <c r="O35" i="7" s="1"/>
  <c r="F31" i="1"/>
  <c r="O36" i="7" s="1"/>
  <c r="F32" i="1"/>
  <c r="O37" i="7" s="1"/>
  <c r="F33" i="1"/>
  <c r="O38" i="7" s="1"/>
  <c r="F34" i="1"/>
  <c r="O39" i="7" s="1"/>
  <c r="F35" i="1"/>
  <c r="O40" i="7" s="1"/>
  <c r="F36" i="1"/>
  <c r="O41" i="7" s="1"/>
  <c r="F37" i="1"/>
  <c r="O42" i="7" s="1"/>
  <c r="F38" i="1"/>
  <c r="O43" i="7" s="1"/>
  <c r="F39" i="1"/>
  <c r="O44" i="7" s="1"/>
  <c r="F40" i="1"/>
  <c r="O45" i="7" s="1"/>
  <c r="E7" i="1" l="1"/>
  <c r="E5" i="1" s="1"/>
  <c r="F7" i="1" l="1"/>
  <c r="F8" i="1"/>
  <c r="O13" i="7" s="1"/>
  <c r="D6" i="2" l="1"/>
  <c r="O12" i="7"/>
</calcChain>
</file>

<file path=xl/comments1.xml><?xml version="1.0" encoding="utf-8"?>
<comments xmlns="http://schemas.openxmlformats.org/spreadsheetml/2006/main">
  <authors>
    <author>Bjorn Burlin - 3SN</author>
  </authors>
  <commentList>
    <comment ref="F6" authorId="0">
      <text>
        <r>
          <rPr>
            <b/>
            <sz val="9"/>
            <color indexed="81"/>
            <rFont val="Tahoma"/>
            <family val="2"/>
          </rPr>
          <t>Bjorn Burlin - 3SN:</t>
        </r>
        <r>
          <rPr>
            <sz val="9"/>
            <color indexed="81"/>
            <rFont val="Tahoma"/>
            <family val="2"/>
          </rPr>
          <t xml:space="preserve">
Automatically calculated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Bjorn Burlin - 3SN:</t>
        </r>
        <r>
          <rPr>
            <sz val="9"/>
            <color indexed="81"/>
            <rFont val="Tahoma"/>
            <family val="2"/>
          </rPr>
          <t xml:space="preserve">
Party responsible for achieving the milestone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Bjorn Burlin - 3SN:</t>
        </r>
        <r>
          <rPr>
            <sz val="9"/>
            <color indexed="81"/>
            <rFont val="Tahoma"/>
            <family val="2"/>
          </rPr>
          <t xml:space="preserve">
OMS user role responsible for updating the milestone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Bjorn Burlin - 3SN:</t>
        </r>
        <r>
          <rPr>
            <sz val="9"/>
            <color indexed="81"/>
            <rFont val="Tahoma"/>
            <family val="2"/>
          </rPr>
          <t xml:space="preserve">
Default to project creation date</t>
        </r>
      </text>
    </comment>
  </commentList>
</comments>
</file>

<file path=xl/sharedStrings.xml><?xml version="1.0" encoding="utf-8"?>
<sst xmlns="http://schemas.openxmlformats.org/spreadsheetml/2006/main" count="731" uniqueCount="268">
  <si>
    <t>Bid Invitation Received</t>
  </si>
  <si>
    <t>SAP Submitted</t>
  </si>
  <si>
    <t>SAP Approved</t>
  </si>
  <si>
    <t>Sprint-Provided Punchlist Received</t>
  </si>
  <si>
    <t>Construction Documents Complete</t>
  </si>
  <si>
    <t>Final Acceptance Documents Complete</t>
  </si>
  <si>
    <t>Acceptance Request Submitted</t>
  </si>
  <si>
    <t>Final Acceptance</t>
  </si>
  <si>
    <t>Milestone No.</t>
  </si>
  <si>
    <t>Milestone Name</t>
  </si>
  <si>
    <t>Attachment 2</t>
  </si>
  <si>
    <t>Citation</t>
  </si>
  <si>
    <t>Pre-Bid Conference Complete</t>
  </si>
  <si>
    <t>Bid Walk Complete</t>
  </si>
  <si>
    <t>6.1(D)(1)</t>
  </si>
  <si>
    <t>Comments</t>
  </si>
  <si>
    <t>Pre-Construction Visit Complete</t>
  </si>
  <si>
    <t>Cell Site Verification Complete</t>
  </si>
  <si>
    <t>6.1(D)(2)</t>
  </si>
  <si>
    <t>Material Order Submitted</t>
  </si>
  <si>
    <t>Material Received</t>
  </si>
  <si>
    <t>NTP Received</t>
  </si>
  <si>
    <t>6.1(J)(4)</t>
  </si>
  <si>
    <t>Equipment Pickup Complete</t>
  </si>
  <si>
    <t>Construction Start</t>
  </si>
  <si>
    <t>Construction Complete</t>
  </si>
  <si>
    <t>6.1(O)</t>
  </si>
  <si>
    <t>Commissioning &amp; Integration Schedule Complete</t>
  </si>
  <si>
    <t>Commissioning &amp; Integration Complete</t>
  </si>
  <si>
    <t>Return of Unused Equipment Complete</t>
  </si>
  <si>
    <t>6.1(P)(9)</t>
  </si>
  <si>
    <t>d. 4/28 POC</t>
  </si>
  <si>
    <t>POC</t>
  </si>
  <si>
    <t>Project Operations Call</t>
  </si>
  <si>
    <t>Abbreviations:</t>
  </si>
  <si>
    <t>3SN</t>
  </si>
  <si>
    <t>Document Examples</t>
  </si>
  <si>
    <t>NTP E-mail</t>
  </si>
  <si>
    <t>Sprint</t>
  </si>
  <si>
    <t>Material PO</t>
  </si>
  <si>
    <t>Material Vendor</t>
  </si>
  <si>
    <t>Sprint PO</t>
  </si>
  <si>
    <t>SAP Approval E-mail</t>
  </si>
  <si>
    <t>Bid Review Complete</t>
  </si>
  <si>
    <t>Site Walk Package</t>
  </si>
  <si>
    <t>SAP</t>
  </si>
  <si>
    <t>Minutes of Meeting</t>
  </si>
  <si>
    <t>Internal Bid Approval E-mail</t>
  </si>
  <si>
    <t>Invoice Trigger?</t>
  </si>
  <si>
    <t>x</t>
  </si>
  <si>
    <t>Document Upload?</t>
  </si>
  <si>
    <t>Punchlist Clean-up Complete</t>
  </si>
  <si>
    <t>Samsung</t>
  </si>
  <si>
    <r>
      <t>x</t>
    </r>
    <r>
      <rPr>
        <vertAlign val="superscript"/>
        <sz val="11"/>
        <color rgb="FF000000"/>
        <rFont val="Calibri"/>
        <family val="2"/>
        <scheme val="minor"/>
      </rPr>
      <t>1</t>
    </r>
  </si>
  <si>
    <t>Notes:</t>
  </si>
  <si>
    <t>Invoice all lines except the final payment line</t>
  </si>
  <si>
    <r>
      <t>x</t>
    </r>
    <r>
      <rPr>
        <vertAlign val="superscript"/>
        <sz val="11"/>
        <color rgb="FF000000"/>
        <rFont val="Calibri"/>
        <family val="2"/>
        <scheme val="minor"/>
      </rPr>
      <t>2</t>
    </r>
  </si>
  <si>
    <t>Invoice final payment line</t>
  </si>
  <si>
    <t>Milestone Owner</t>
  </si>
  <si>
    <t>Assigned Role</t>
  </si>
  <si>
    <t>Ground Level Construction Complete</t>
  </si>
  <si>
    <t>Tower Level Construction Complete</t>
  </si>
  <si>
    <t>Construction Documents Submitted</t>
  </si>
  <si>
    <t>8.2[C]</t>
  </si>
  <si>
    <t>8.2(B)</t>
  </si>
  <si>
    <t>6.3, 8.2(A)</t>
  </si>
  <si>
    <t>6.4, 8.2(A)</t>
  </si>
  <si>
    <t>8.2(A)</t>
  </si>
  <si>
    <t>Section K Photographs</t>
  </si>
  <si>
    <t>PM</t>
  </si>
  <si>
    <t>PC</t>
  </si>
  <si>
    <t>Punchlist</t>
  </si>
  <si>
    <t>Snapshot of Sprint's Tracking Tool for Specific Site</t>
  </si>
  <si>
    <t>Bid Complete</t>
  </si>
  <si>
    <t>Equipment Inventory Complete</t>
  </si>
  <si>
    <t>Forecast</t>
  </si>
  <si>
    <t>Actual</t>
  </si>
  <si>
    <t>Milestone To</t>
  </si>
  <si>
    <t>Milestone From</t>
  </si>
  <si>
    <t>Lead-Time (Business Days)</t>
  </si>
  <si>
    <t>_Forecast</t>
  </si>
  <si>
    <t>Milestone To Forecast Date</t>
  </si>
  <si>
    <t>Calendar Days</t>
  </si>
  <si>
    <t>Total Project Length:</t>
  </si>
  <si>
    <t>Predecessor Count</t>
  </si>
  <si>
    <t>From</t>
  </si>
  <si>
    <t>Number of Business Days</t>
  </si>
  <si>
    <t>To</t>
  </si>
  <si>
    <t>_Forecast Column:</t>
  </si>
  <si>
    <t>_Forecast Start Row:</t>
  </si>
  <si>
    <t>_Forecast Stop Row:</t>
  </si>
  <si>
    <t>Milestone To Forecast Date Column:</t>
  </si>
  <si>
    <t>Milestone To Forecast Date Start Row:</t>
  </si>
  <si>
    <t>Milestone To Forecast Date Stop Row:</t>
  </si>
  <si>
    <t>Bid Invitation E-mail; Site RFDS; Drawing</t>
  </si>
  <si>
    <t>Invoice; Packaging List</t>
  </si>
  <si>
    <t>Photos; Packaging Lists</t>
  </si>
  <si>
    <t>Phase</t>
  </si>
  <si>
    <t>Pre-Construction</t>
  </si>
  <si>
    <t>Construction</t>
  </si>
  <si>
    <t>Post-Construction</t>
  </si>
  <si>
    <t>Forecast Calculation:</t>
  </si>
  <si>
    <t>Actual date</t>
  </si>
  <si>
    <t>User updated forecast date</t>
  </si>
  <si>
    <t>Lead-time and dependent based forecast calculation</t>
  </si>
  <si>
    <t>Order</t>
  </si>
  <si>
    <t>Forecast Date</t>
  </si>
  <si>
    <t>Sign in</t>
  </si>
  <si>
    <r>
      <t xml:space="preserve">Sprint </t>
    </r>
    <r>
      <rPr>
        <b/>
        <sz val="12"/>
        <color theme="1"/>
        <rFont val="Calibri"/>
        <family val="2"/>
      </rPr>
      <t xml:space="preserve">· </t>
    </r>
    <r>
      <rPr>
        <b/>
        <sz val="12"/>
        <color theme="1"/>
        <rFont val="Calibri"/>
        <family val="2"/>
        <scheme val="minor"/>
      </rPr>
      <t>Login</t>
    </r>
  </si>
  <si>
    <r>
      <t xml:space="preserve">Sprint </t>
    </r>
    <r>
      <rPr>
        <b/>
        <sz val="12"/>
        <color theme="1"/>
        <rFont val="Calibri"/>
        <family val="2"/>
      </rPr>
      <t xml:space="preserve">· </t>
    </r>
    <r>
      <rPr>
        <b/>
        <sz val="12"/>
        <color theme="1"/>
        <rFont val="Calibri"/>
        <family val="2"/>
        <scheme val="minor"/>
      </rPr>
      <t>Projects</t>
    </r>
  </si>
  <si>
    <t>3SN Project Name</t>
  </si>
  <si>
    <t>Project Type</t>
  </si>
  <si>
    <t>Program Name</t>
  </si>
  <si>
    <t>Site ID</t>
  </si>
  <si>
    <t>Add Project</t>
  </si>
  <si>
    <t>Sites</t>
  </si>
  <si>
    <t>2.5 GHz Upgrade</t>
  </si>
  <si>
    <t>Modification</t>
  </si>
  <si>
    <t>SP-MOD-001-WA</t>
  </si>
  <si>
    <t>SP-MOD-002-WA</t>
  </si>
  <si>
    <t>SP-MOD-003-WA</t>
  </si>
  <si>
    <t>SP-MOD-004-WA</t>
  </si>
  <si>
    <t>SP-MOD-005-WA</t>
  </si>
  <si>
    <t>SP-MOD-006-WA</t>
  </si>
  <si>
    <t>SP-MOD-007-WA</t>
  </si>
  <si>
    <t>SP-MOD-008-WA</t>
  </si>
  <si>
    <t>SP-MOD-009-WA</t>
  </si>
  <si>
    <t>SP-MOD-010-WA</t>
  </si>
  <si>
    <t>SP-MOD-011-WA</t>
  </si>
  <si>
    <t>SE29XC266</t>
  </si>
  <si>
    <t>SE35XC001</t>
  </si>
  <si>
    <t>SE03XC438</t>
  </si>
  <si>
    <t>SE03XC404</t>
  </si>
  <si>
    <t>SE73XC105</t>
  </si>
  <si>
    <t>SE33XC041</t>
  </si>
  <si>
    <t>SE33XC162</t>
  </si>
  <si>
    <t>SE33XC138</t>
  </si>
  <si>
    <t>SE03XC604</t>
  </si>
  <si>
    <t>SE73XC027</t>
  </si>
  <si>
    <t>SE73XC056</t>
  </si>
  <si>
    <t>Change Request Submitted</t>
  </si>
  <si>
    <t>Change Request Approved</t>
  </si>
  <si>
    <t>Initial Bid POR Submitted</t>
  </si>
  <si>
    <t>Initial Bid PO Received</t>
  </si>
  <si>
    <t>Change Request PO Received</t>
  </si>
  <si>
    <t>Projects</t>
  </si>
  <si>
    <t>Orders</t>
  </si>
  <si>
    <r>
      <t xml:space="preserve">Sprint </t>
    </r>
    <r>
      <rPr>
        <b/>
        <sz val="12"/>
        <color theme="1"/>
        <rFont val="Calibri"/>
        <family val="2"/>
      </rPr>
      <t xml:space="preserve">· </t>
    </r>
    <r>
      <rPr>
        <b/>
        <sz val="12"/>
        <color theme="1"/>
        <rFont val="Calibri"/>
        <family val="2"/>
        <scheme val="minor"/>
      </rPr>
      <t>Sites</t>
    </r>
  </si>
  <si>
    <t>Site Name</t>
  </si>
  <si>
    <t>Structure Type</t>
  </si>
  <si>
    <t>Site City</t>
  </si>
  <si>
    <t>Site Type</t>
  </si>
  <si>
    <t>Arberdeen</t>
  </si>
  <si>
    <t>City</t>
  </si>
  <si>
    <t>State</t>
  </si>
  <si>
    <t>WA</t>
  </si>
  <si>
    <t>Self Support Tower</t>
  </si>
  <si>
    <t>Cosmopolis</t>
  </si>
  <si>
    <t>Rooftop</t>
  </si>
  <si>
    <t>Riverton Heights</t>
  </si>
  <si>
    <t>Tukwila</t>
  </si>
  <si>
    <t>West Valley Hwy</t>
  </si>
  <si>
    <t>Monopole on Rooftop</t>
  </si>
  <si>
    <t>Centralia</t>
  </si>
  <si>
    <t>Oakville</t>
  </si>
  <si>
    <t>Lattice Tower</t>
  </si>
  <si>
    <r>
      <t xml:space="preserve">Sprint </t>
    </r>
    <r>
      <rPr>
        <b/>
        <sz val="12"/>
        <color theme="1"/>
        <rFont val="Calibri"/>
        <family val="2"/>
      </rPr>
      <t xml:space="preserve">· </t>
    </r>
    <r>
      <rPr>
        <b/>
        <sz val="12"/>
        <color theme="1"/>
        <rFont val="Calibri"/>
        <family val="2"/>
        <scheme val="minor"/>
      </rPr>
      <t>Sites · SE03XC438</t>
    </r>
  </si>
  <si>
    <t>Site Address</t>
  </si>
  <si>
    <t>Site Zip</t>
  </si>
  <si>
    <t>Latitude (Decimals)</t>
  </si>
  <si>
    <t>Longitude (Decimals)</t>
  </si>
  <si>
    <t>3SN Site Code</t>
  </si>
  <si>
    <t>Customer Site ID</t>
  </si>
  <si>
    <t>Tower Company</t>
  </si>
  <si>
    <t>117 E Magnolia St.</t>
  </si>
  <si>
    <t>Submit</t>
  </si>
  <si>
    <t>Crown Castle</t>
  </si>
  <si>
    <t>American Tower</t>
  </si>
  <si>
    <r>
      <t xml:space="preserve">Sprint </t>
    </r>
    <r>
      <rPr>
        <b/>
        <sz val="12"/>
        <color theme="1"/>
        <rFont val="Calibri"/>
        <family val="2"/>
      </rPr>
      <t xml:space="preserve">· </t>
    </r>
    <r>
      <rPr>
        <b/>
        <sz val="12"/>
        <color theme="1"/>
        <rFont val="Calibri"/>
        <family val="2"/>
        <scheme val="minor"/>
      </rPr>
      <t>Projects · SP-MOD-003-WA · Milestones</t>
    </r>
  </si>
  <si>
    <t>Header</t>
  </si>
  <si>
    <t>Sprint · Projects · SP-MOD-003-WA · Header</t>
  </si>
  <si>
    <t>Milestones</t>
  </si>
  <si>
    <t>3SN Project Code</t>
  </si>
  <si>
    <t>Project Status</t>
  </si>
  <si>
    <t>Roger Smith</t>
  </si>
  <si>
    <t>Brian Buckley</t>
  </si>
  <si>
    <t>Jane Rabay</t>
  </si>
  <si>
    <t>Milestone List Name</t>
  </si>
  <si>
    <t>Active</t>
  </si>
  <si>
    <t>Cancelled</t>
  </si>
  <si>
    <t>Closed</t>
  </si>
  <si>
    <t>ID</t>
  </si>
  <si>
    <t>Milestone</t>
  </si>
  <si>
    <t>Docs</t>
  </si>
  <si>
    <t>SE13XC105</t>
  </si>
  <si>
    <r>
      <t xml:space="preserve">Sprint </t>
    </r>
    <r>
      <rPr>
        <b/>
        <sz val="12"/>
        <color theme="1"/>
        <rFont val="Calibri"/>
        <family val="2"/>
      </rPr>
      <t xml:space="preserve">· </t>
    </r>
    <r>
      <rPr>
        <b/>
        <sz val="12"/>
        <color theme="1"/>
        <rFont val="Calibri"/>
        <family val="2"/>
        <scheme val="minor"/>
      </rPr>
      <t>Projects · SP-MOD-003-WA · SAP Submitted · Docs</t>
    </r>
  </si>
  <si>
    <t>Doc Type</t>
  </si>
  <si>
    <t>Upload Date</t>
  </si>
  <si>
    <t>In COP?</t>
  </si>
  <si>
    <t>SE03XC438 CENTRALIA CD FINAL 02-19-14[1].pdf</t>
  </si>
  <si>
    <t>SE03XC438 RFDS 042814.xlsx</t>
  </si>
  <si>
    <t>SE03XC438 SAP SCOPE 042914.xlsx</t>
  </si>
  <si>
    <t>Yes</t>
  </si>
  <si>
    <t>CD</t>
  </si>
  <si>
    <t>RFDS</t>
  </si>
  <si>
    <t>Upload</t>
  </si>
  <si>
    <t>3SN PM</t>
  </si>
  <si>
    <t>3SN CM</t>
  </si>
  <si>
    <t>3SN PC</t>
  </si>
  <si>
    <t>Customer PM</t>
  </si>
  <si>
    <t>Joey Price</t>
  </si>
  <si>
    <t>Sprint · Projects · Add Project</t>
  </si>
  <si>
    <t>Add Site</t>
  </si>
  <si>
    <r>
      <t xml:space="preserve">Sprint </t>
    </r>
    <r>
      <rPr>
        <b/>
        <sz val="12"/>
        <color theme="1"/>
        <rFont val="Calibri"/>
        <family val="2"/>
      </rPr>
      <t xml:space="preserve">· </t>
    </r>
    <r>
      <rPr>
        <b/>
        <sz val="12"/>
        <color theme="1"/>
        <rFont val="Calibri"/>
        <family val="2"/>
        <scheme val="minor"/>
      </rPr>
      <t>Sites · Add Site</t>
    </r>
  </si>
  <si>
    <t>Sprint · Projects · SP-MOD-003-WA · Orders</t>
  </si>
  <si>
    <t>PO Number</t>
  </si>
  <si>
    <t>PO Date</t>
  </si>
  <si>
    <t>0009110163</t>
  </si>
  <si>
    <t>Details</t>
  </si>
  <si>
    <t>3SN Order ID</t>
  </si>
  <si>
    <t>Document Type</t>
  </si>
  <si>
    <t>Doc Date</t>
  </si>
  <si>
    <t>Doc Rev</t>
  </si>
  <si>
    <t>Amount</t>
  </si>
  <si>
    <t>Bid</t>
  </si>
  <si>
    <t>File Name</t>
  </si>
  <si>
    <t>File Type</t>
  </si>
  <si>
    <t>PO</t>
  </si>
  <si>
    <t>Line #</t>
  </si>
  <si>
    <t>Item ID</t>
  </si>
  <si>
    <t>Item Description</t>
  </si>
  <si>
    <t>Qty</t>
  </si>
  <si>
    <t>Unit Price</t>
  </si>
  <si>
    <t>Total Price</t>
  </si>
  <si>
    <t>Item Type</t>
  </si>
  <si>
    <t>Quote</t>
  </si>
  <si>
    <t>Standard Driver</t>
  </si>
  <si>
    <t>Pass Through</t>
  </si>
  <si>
    <t>New Battery Sting Installation</t>
  </si>
  <si>
    <t>Order Total:</t>
  </si>
  <si>
    <t>Tower Top Installation - RRUs &amp; Antennas - Less Than 100 Feet</t>
  </si>
  <si>
    <t>Minor &amp; Miscellaneous Materials</t>
  </si>
  <si>
    <t>RET Cable 60m</t>
  </si>
  <si>
    <t>Antenna Mounts</t>
  </si>
  <si>
    <t>Final Payment</t>
  </si>
  <si>
    <t>Document Revision</t>
  </si>
  <si>
    <t>Document Date</t>
  </si>
  <si>
    <t>Bid Revision</t>
  </si>
  <si>
    <t>Invoice Trigger</t>
  </si>
  <si>
    <t>Invoice Number</t>
  </si>
  <si>
    <t>Sprint · Projects · SP-MOD-003-WA · Orders · 1014 · PO Rev 0 · Details</t>
  </si>
  <si>
    <t>Sprint · Projects · SP-MOD-003-WA · Orders · 1014 · PO Rev 0 · Header</t>
  </si>
  <si>
    <t>Sprint · Projects · SP-MOD-003-WA · Orders · 1014 · Bid Rev 0 · Header</t>
  </si>
  <si>
    <t>Sprint · Projects · SP-MOD-003-WA · Orders · 1014 · Bid Rev 0 · Details</t>
  </si>
  <si>
    <t>Username</t>
  </si>
  <si>
    <t>Password</t>
  </si>
  <si>
    <t>Construction Complete &amp; Final Acceptance Checklist Complete</t>
  </si>
  <si>
    <t>Table From Column:</t>
  </si>
  <si>
    <t>Table To Column:</t>
  </si>
  <si>
    <t>Table From Row:</t>
  </si>
  <si>
    <t>Table To Row:</t>
  </si>
  <si>
    <t>All dependencies have been actualized</t>
  </si>
  <si>
    <t>Actual Date Update Pre-Requisites:</t>
  </si>
  <si>
    <t>All required docs have been uploaded</t>
  </si>
  <si>
    <t>*</t>
  </si>
  <si>
    <t>Color Row:</t>
  </si>
  <si>
    <t>Color Column:</t>
  </si>
  <si>
    <t>Color ON/OFF: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</si>
</sst>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44" formatCode="_(&quot;$&quot;* #,##0.00_);_(&quot;$&quot;* \(#,##0.00\);_(&quot;$&quot;* &quot;-&quot;??_);_(@_)"/>
    <numFmt numFmtId="164" formatCode="[$-409]d\-mmm\-yy;@"/>
    <numFmt numFmtId="165" formatCode="m/d/yyyy;@"/>
    <numFmt numFmtId="166" formatCode="0.000000"/>
    <numFmt numFmtId="167" formatCode="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perscript"/>
      <sz val="11"/>
      <color rgb="FF00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40404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4488F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66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20" fillId="0" borderId="0" applyNumberFormat="0" applyFill="0" applyBorder="0" applyAlignment="0" applyProtection="0"/>
    <xf numFmtId="44" fontId="24" fillId="0" borderId="0" applyFont="0" applyFill="0" applyBorder="0" applyAlignment="0" applyProtection="0"/>
  </cellStyleXfs>
  <cellXfs count="166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1" fillId="0" borderId="0" xfId="0" applyFont="1" applyBorder="1" applyAlignment="1">
      <alignment horizontal="center" vertical="center" wrapText="1"/>
    </xf>
    <xf numFmtId="164" fontId="0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165" fontId="0" fillId="0" borderId="0" xfId="0" applyNumberFormat="1" applyAlignment="1">
      <alignment horizontal="center" vertical="center"/>
    </xf>
    <xf numFmtId="0" fontId="0" fillId="3" borderId="0" xfId="0" applyFont="1" applyFill="1" applyAlignment="1">
      <alignment vertical="center"/>
    </xf>
    <xf numFmtId="0" fontId="0" fillId="3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13" fillId="0" borderId="0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2" xfId="0" applyFont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6" fillId="0" borderId="0" xfId="0" applyFont="1"/>
    <xf numFmtId="0" fontId="13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 wrapText="1"/>
    </xf>
    <xf numFmtId="0" fontId="17" fillId="0" borderId="0" xfId="0" applyFont="1" applyAlignment="1">
      <alignment vertical="center"/>
    </xf>
    <xf numFmtId="0" fontId="17" fillId="0" borderId="4" xfId="0" applyFont="1" applyBorder="1" applyAlignment="1">
      <alignment vertical="center"/>
    </xf>
    <xf numFmtId="0" fontId="17" fillId="0" borderId="4" xfId="0" applyFont="1" applyFill="1" applyBorder="1" applyAlignment="1">
      <alignment vertical="center"/>
    </xf>
    <xf numFmtId="0" fontId="19" fillId="0" borderId="4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21" fillId="0" borderId="0" xfId="1" applyFont="1" applyFill="1" applyBorder="1" applyAlignment="1">
      <alignment vertical="center"/>
    </xf>
    <xf numFmtId="0" fontId="21" fillId="0" borderId="0" xfId="1" applyFont="1" applyAlignment="1">
      <alignment vertical="center"/>
    </xf>
    <xf numFmtId="0" fontId="13" fillId="5" borderId="0" xfId="0" applyFont="1" applyFill="1" applyAlignment="1">
      <alignment vertical="center"/>
    </xf>
    <xf numFmtId="0" fontId="21" fillId="5" borderId="0" xfId="1" applyFont="1" applyFill="1" applyBorder="1" applyAlignment="1">
      <alignment vertical="center"/>
    </xf>
    <xf numFmtId="0" fontId="13" fillId="5" borderId="0" xfId="0" applyFont="1" applyFill="1" applyBorder="1" applyAlignment="1">
      <alignment vertical="center"/>
    </xf>
    <xf numFmtId="0" fontId="14" fillId="5" borderId="0" xfId="0" applyFont="1" applyFill="1" applyBorder="1" applyAlignment="1">
      <alignment vertical="center"/>
    </xf>
    <xf numFmtId="0" fontId="15" fillId="5" borderId="0" xfId="0" applyFont="1" applyFill="1" applyBorder="1" applyAlignment="1">
      <alignment vertical="center" wrapText="1"/>
    </xf>
    <xf numFmtId="0" fontId="16" fillId="5" borderId="0" xfId="0" applyFont="1" applyFill="1"/>
    <xf numFmtId="0" fontId="12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66" fontId="0" fillId="0" borderId="1" xfId="0" applyNumberFormat="1" applyBorder="1" applyAlignment="1">
      <alignment horizontal="left" vertical="center"/>
    </xf>
    <xf numFmtId="0" fontId="11" fillId="0" borderId="0" xfId="1" applyFont="1" applyFill="1" applyAlignment="1">
      <alignment vertical="center" wrapText="1"/>
    </xf>
    <xf numFmtId="0" fontId="12" fillId="0" borderId="0" xfId="0" applyFont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0" xfId="0" applyBorder="1" applyAlignment="1">
      <alignment horizontal="left" vertical="center"/>
    </xf>
    <xf numFmtId="166" fontId="0" fillId="0" borderId="0" xfId="0" applyNumberFormat="1" applyBorder="1" applyAlignment="1">
      <alignment horizontal="left" vertical="center"/>
    </xf>
    <xf numFmtId="0" fontId="12" fillId="6" borderId="1" xfId="0" applyFont="1" applyFill="1" applyBorder="1" applyAlignment="1">
      <alignment horizontal="left" vertical="center"/>
    </xf>
    <xf numFmtId="0" fontId="0" fillId="6" borderId="2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13" fillId="0" borderId="0" xfId="0" applyFont="1" applyAlignment="1">
      <alignment horizontal="left" vertical="center"/>
    </xf>
    <xf numFmtId="164" fontId="13" fillId="0" borderId="0" xfId="0" applyNumberFormat="1" applyFont="1" applyAlignment="1">
      <alignment vertical="center"/>
    </xf>
    <xf numFmtId="0" fontId="13" fillId="5" borderId="0" xfId="0" applyFont="1" applyFill="1" applyAlignment="1">
      <alignment horizontal="left" vertical="center"/>
    </xf>
    <xf numFmtId="164" fontId="13" fillId="5" borderId="0" xfId="0" applyNumberFormat="1" applyFont="1" applyFill="1" applyAlignment="1">
      <alignment vertical="center"/>
    </xf>
    <xf numFmtId="0" fontId="12" fillId="0" borderId="1" xfId="0" applyFont="1" applyFill="1" applyBorder="1" applyAlignment="1">
      <alignment horizontal="left" vertical="center"/>
    </xf>
    <xf numFmtId="0" fontId="0" fillId="0" borderId="2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0" xfId="0" applyFill="1"/>
    <xf numFmtId="0" fontId="13" fillId="0" borderId="0" xfId="0" applyFont="1" applyFill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7" fillId="0" borderId="4" xfId="0" applyFont="1" applyFill="1" applyBorder="1" applyAlignment="1">
      <alignment vertical="center"/>
    </xf>
    <xf numFmtId="0" fontId="13" fillId="5" borderId="0" xfId="0" applyFont="1" applyFill="1" applyAlignment="1">
      <alignment horizontal="center" vertical="center"/>
    </xf>
    <xf numFmtId="0" fontId="13" fillId="0" borderId="5" xfId="0" applyFont="1" applyBorder="1" applyAlignment="1">
      <alignment vertical="center"/>
    </xf>
    <xf numFmtId="0" fontId="13" fillId="0" borderId="0" xfId="0" applyFont="1" applyFill="1" applyBorder="1" applyAlignment="1">
      <alignment horizontal="left" vertical="center"/>
    </xf>
    <xf numFmtId="0" fontId="21" fillId="0" borderId="5" xfId="1" applyFont="1" applyBorder="1" applyAlignment="1">
      <alignment vertical="center"/>
    </xf>
    <xf numFmtId="0" fontId="21" fillId="0" borderId="0" xfId="1" applyFont="1" applyAlignment="1">
      <alignment horizontal="center" vertical="center"/>
    </xf>
    <xf numFmtId="49" fontId="13" fillId="0" borderId="5" xfId="0" applyNumberFormat="1" applyFont="1" applyBorder="1" applyAlignment="1">
      <alignment vertical="center"/>
    </xf>
    <xf numFmtId="0" fontId="21" fillId="0" borderId="5" xfId="1" applyFont="1" applyFill="1" applyBorder="1" applyAlignment="1">
      <alignment vertical="center"/>
    </xf>
    <xf numFmtId="0" fontId="13" fillId="0" borderId="5" xfId="0" applyFont="1" applyFill="1" applyBorder="1" applyAlignment="1">
      <alignment vertical="center"/>
    </xf>
    <xf numFmtId="164" fontId="13" fillId="0" borderId="5" xfId="0" applyNumberFormat="1" applyFont="1" applyBorder="1" applyAlignment="1">
      <alignment vertical="center"/>
    </xf>
    <xf numFmtId="0" fontId="13" fillId="0" borderId="5" xfId="0" applyFont="1" applyFill="1" applyBorder="1" applyAlignment="1">
      <alignment horizontal="left" vertical="center"/>
    </xf>
    <xf numFmtId="49" fontId="13" fillId="5" borderId="0" xfId="0" applyNumberFormat="1" applyFont="1" applyFill="1" applyBorder="1" applyAlignment="1">
      <alignment vertical="center"/>
    </xf>
    <xf numFmtId="164" fontId="13" fillId="5" borderId="0" xfId="0" applyNumberFormat="1" applyFont="1" applyFill="1" applyBorder="1" applyAlignment="1">
      <alignment vertical="center"/>
    </xf>
    <xf numFmtId="0" fontId="13" fillId="5" borderId="0" xfId="0" applyFont="1" applyFill="1" applyBorder="1" applyAlignment="1">
      <alignment horizontal="left" vertical="center"/>
    </xf>
    <xf numFmtId="167" fontId="13" fillId="0" borderId="0" xfId="0" applyNumberFormat="1" applyFont="1" applyFill="1" applyBorder="1" applyAlignment="1">
      <alignment vertical="center"/>
    </xf>
    <xf numFmtId="167" fontId="17" fillId="0" borderId="0" xfId="0" applyNumberFormat="1" applyFont="1" applyFill="1" applyBorder="1" applyAlignment="1">
      <alignment vertical="center"/>
    </xf>
    <xf numFmtId="167" fontId="13" fillId="5" borderId="0" xfId="0" applyNumberFormat="1" applyFont="1" applyFill="1" applyBorder="1" applyAlignment="1">
      <alignment vertical="center"/>
    </xf>
    <xf numFmtId="0" fontId="0" fillId="0" borderId="0" xfId="0" applyAlignment="1"/>
    <xf numFmtId="0" fontId="20" fillId="0" borderId="0" xfId="1" applyAlignment="1">
      <alignment vertical="center"/>
    </xf>
    <xf numFmtId="49" fontId="12" fillId="0" borderId="1" xfId="0" applyNumberFormat="1" applyFont="1" applyBorder="1" applyAlignment="1">
      <alignment horizontal="left" vertical="center"/>
    </xf>
    <xf numFmtId="0" fontId="13" fillId="0" borderId="5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vertical="center"/>
    </xf>
    <xf numFmtId="0" fontId="13" fillId="5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7" fillId="0" borderId="4" xfId="0" applyFont="1" applyBorder="1" applyAlignment="1">
      <alignment vertical="center" wrapText="1"/>
    </xf>
    <xf numFmtId="0" fontId="17" fillId="0" borderId="4" xfId="0" applyFont="1" applyFill="1" applyBorder="1" applyAlignment="1">
      <alignment vertical="center" wrapText="1"/>
    </xf>
    <xf numFmtId="0" fontId="17" fillId="0" borderId="4" xfId="0" applyFont="1" applyFill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5" fillId="0" borderId="0" xfId="1" applyFont="1" applyFill="1" applyAlignment="1">
      <alignment vertical="center" wrapText="1"/>
    </xf>
    <xf numFmtId="0" fontId="26" fillId="0" borderId="1" xfId="1" applyFont="1" applyBorder="1" applyAlignment="1">
      <alignment vertical="center"/>
    </xf>
    <xf numFmtId="0" fontId="17" fillId="0" borderId="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3" fillId="0" borderId="0" xfId="1" applyFont="1" applyFill="1" applyBorder="1" applyAlignment="1">
      <alignment horizontal="center" vertical="center"/>
    </xf>
    <xf numFmtId="0" fontId="23" fillId="5" borderId="0" xfId="1" applyFont="1" applyFill="1" applyBorder="1" applyAlignment="1">
      <alignment horizontal="center" vertical="center"/>
    </xf>
    <xf numFmtId="0" fontId="21" fillId="5" borderId="0" xfId="1" applyFont="1" applyFill="1" applyBorder="1" applyAlignment="1">
      <alignment horizontal="center" vertical="center"/>
    </xf>
    <xf numFmtId="165" fontId="2" fillId="0" borderId="0" xfId="0" applyNumberFormat="1" applyFont="1" applyFill="1" applyAlignment="1">
      <alignment vertical="center"/>
    </xf>
    <xf numFmtId="0" fontId="0" fillId="3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0" fillId="7" borderId="0" xfId="0" applyFont="1" applyFill="1" applyAlignment="1">
      <alignment horizontal="center" vertical="center"/>
    </xf>
    <xf numFmtId="0" fontId="0" fillId="7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0" fillId="7" borderId="0" xfId="0" applyFill="1" applyAlignment="1">
      <alignment horizontal="center"/>
    </xf>
    <xf numFmtId="0" fontId="2" fillId="7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14" fontId="0" fillId="7" borderId="0" xfId="0" applyNumberFormat="1" applyFill="1"/>
    <xf numFmtId="165" fontId="0" fillId="7" borderId="0" xfId="0" applyNumberFormat="1" applyFont="1" applyFill="1" applyAlignment="1">
      <alignment vertical="center"/>
    </xf>
    <xf numFmtId="165" fontId="2" fillId="7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right" vertical="center"/>
    </xf>
    <xf numFmtId="0" fontId="9" fillId="0" borderId="0" xfId="0" applyFont="1" applyFill="1" applyAlignment="1">
      <alignment vertical="center"/>
    </xf>
    <xf numFmtId="164" fontId="0" fillId="0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right" vertical="center"/>
    </xf>
    <xf numFmtId="0" fontId="0" fillId="0" borderId="0" xfId="0" applyNumberFormat="1" applyFont="1" applyFill="1" applyAlignment="1">
      <alignment horizontal="center" vertical="center"/>
    </xf>
    <xf numFmtId="164" fontId="0" fillId="0" borderId="0" xfId="0" applyNumberFormat="1" applyFont="1" applyFill="1" applyAlignment="1">
      <alignment horizontal="left" vertical="center"/>
    </xf>
    <xf numFmtId="0" fontId="1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14" fontId="0" fillId="0" borderId="0" xfId="0" applyNumberFormat="1" applyFill="1"/>
    <xf numFmtId="165" fontId="0" fillId="0" borderId="0" xfId="0" applyNumberFormat="1" applyFont="1" applyFill="1" applyAlignment="1">
      <alignment vertical="center"/>
    </xf>
    <xf numFmtId="165" fontId="2" fillId="0" borderId="0" xfId="0" applyNumberFormat="1" applyFont="1" applyFill="1" applyAlignment="1">
      <alignment horizontal="center" vertical="center"/>
    </xf>
    <xf numFmtId="164" fontId="9" fillId="0" borderId="0" xfId="0" applyNumberFormat="1" applyFont="1" applyFill="1" applyAlignment="1">
      <alignment horizontal="right" vertical="center"/>
    </xf>
    <xf numFmtId="0" fontId="0" fillId="0" borderId="0" xfId="0" applyFont="1" applyFill="1" applyAlignment="1">
      <alignment horizontal="left" vertical="center"/>
    </xf>
    <xf numFmtId="0" fontId="11" fillId="4" borderId="0" xfId="1" applyFont="1" applyFill="1" applyAlignment="1">
      <alignment horizontal="center" vertical="center" wrapText="1"/>
    </xf>
    <xf numFmtId="0" fontId="15" fillId="4" borderId="0" xfId="1" applyFont="1" applyFill="1" applyAlignment="1">
      <alignment horizontal="center" vertical="center" wrapText="1"/>
    </xf>
    <xf numFmtId="0" fontId="13" fillId="0" borderId="5" xfId="0" applyFont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vertical="center"/>
    </xf>
    <xf numFmtId="0" fontId="13" fillId="5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13" fillId="0" borderId="5" xfId="0" applyNumberFormat="1" applyFont="1" applyFill="1" applyBorder="1" applyAlignment="1">
      <alignment horizontal="center" vertical="center"/>
    </xf>
    <xf numFmtId="164" fontId="13" fillId="5" borderId="0" xfId="0" applyNumberFormat="1" applyFont="1" applyFill="1" applyBorder="1" applyAlignment="1">
      <alignment horizontal="center" vertical="center"/>
    </xf>
    <xf numFmtId="164" fontId="13" fillId="0" borderId="0" xfId="0" applyNumberFormat="1" applyFont="1" applyFill="1" applyBorder="1" applyAlignment="1">
      <alignment horizontal="center" vertical="center"/>
    </xf>
    <xf numFmtId="7" fontId="13" fillId="0" borderId="5" xfId="2" applyNumberFormat="1" applyFont="1" applyFill="1" applyBorder="1" applyAlignment="1">
      <alignment horizontal="left" vertical="center"/>
    </xf>
    <xf numFmtId="7" fontId="13" fillId="5" borderId="0" xfId="2" applyNumberFormat="1" applyFont="1" applyFill="1" applyBorder="1" applyAlignment="1">
      <alignment horizontal="left" vertical="center"/>
    </xf>
    <xf numFmtId="0" fontId="15" fillId="4" borderId="0" xfId="1" applyFont="1" applyFill="1" applyAlignment="1">
      <alignment horizontal="center" vertical="center"/>
    </xf>
    <xf numFmtId="0" fontId="12" fillId="2" borderId="1" xfId="0" applyFont="1" applyFill="1" applyBorder="1" applyAlignment="1">
      <alignment horizontal="left" vertical="center"/>
    </xf>
    <xf numFmtId="0" fontId="12" fillId="2" borderId="2" xfId="0" applyFont="1" applyFill="1" applyBorder="1" applyAlignment="1">
      <alignment horizontal="left" vertical="center"/>
    </xf>
    <xf numFmtId="0" fontId="12" fillId="2" borderId="3" xfId="0" applyFont="1" applyFill="1" applyBorder="1" applyAlignment="1">
      <alignment horizontal="left" vertical="center"/>
    </xf>
    <xf numFmtId="164" fontId="12" fillId="2" borderId="1" xfId="0" applyNumberFormat="1" applyFont="1" applyFill="1" applyBorder="1" applyAlignment="1">
      <alignment horizontal="left" vertical="center"/>
    </xf>
    <xf numFmtId="164" fontId="12" fillId="2" borderId="2" xfId="0" applyNumberFormat="1" applyFont="1" applyFill="1" applyBorder="1" applyAlignment="1">
      <alignment horizontal="left" vertical="center"/>
    </xf>
    <xf numFmtId="164" fontId="12" fillId="2" borderId="3" xfId="0" applyNumberFormat="1" applyFont="1" applyFill="1" applyBorder="1" applyAlignment="1">
      <alignment horizontal="left" vertical="center"/>
    </xf>
    <xf numFmtId="164" fontId="12" fillId="0" borderId="1" xfId="0" applyNumberFormat="1" applyFont="1" applyFill="1" applyBorder="1" applyAlignment="1">
      <alignment horizontal="left" vertical="center"/>
    </xf>
    <xf numFmtId="164" fontId="12" fillId="0" borderId="2" xfId="0" applyNumberFormat="1" applyFont="1" applyFill="1" applyBorder="1" applyAlignment="1">
      <alignment horizontal="left" vertical="center"/>
    </xf>
    <xf numFmtId="164" fontId="12" fillId="0" borderId="3" xfId="0" applyNumberFormat="1" applyFont="1" applyFill="1" applyBorder="1" applyAlignment="1">
      <alignment horizontal="left" vertic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CC66"/>
      <color rgb="FFFFFF99"/>
      <color rgb="FF4488F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" dropStyle="combo" dx="16" fmlaLink="I19" fmlaRange="$AT$1" noThreeD="1" sel="0" val="0"/>
</file>

<file path=xl/ctrlProps/ctrlProp2.xml><?xml version="1.0" encoding="utf-8"?>
<formControlPr xmlns="http://schemas.microsoft.com/office/spreadsheetml/2009/9/main" objectType="Drop" dropLines="1" dropStyle="combo" dx="16" fmlaLink="I21" fmlaRange="$AU$1" noThreeD="1" sel="0" val="0"/>
</file>

<file path=xl/ctrlProps/ctrlProp3.xml><?xml version="1.0" encoding="utf-8"?>
<formControlPr xmlns="http://schemas.microsoft.com/office/spreadsheetml/2009/9/main" objectType="Drop" dropLines="1" dropStyle="combo" dx="16" fmlaLink="I15" fmlaRange="$AS$1" noThreeD="1" sel="0" val="0"/>
</file>

<file path=xl/ctrlProps/ctrlProp4.xml><?xml version="1.0" encoding="utf-8"?>
<formControlPr xmlns="http://schemas.microsoft.com/office/spreadsheetml/2009/9/main" objectType="Drop" dropLines="1" dropStyle="combo" dx="16" fmlaLink="I23" fmlaRange="$AV$1" noThreeD="1" sel="0" val="0"/>
</file>

<file path=xl/ctrlProps/ctrlProp5.xml><?xml version="1.0" encoding="utf-8"?>
<formControlPr xmlns="http://schemas.microsoft.com/office/spreadsheetml/2009/9/main" objectType="Drop" dropLines="1" dropStyle="combo" dx="16" fmlaLink="I25" fmlaRange="$AW$1" noThreeD="1" sel="0" val="0"/>
</file>

<file path=xl/ctrlProps/ctrlProp6.xml><?xml version="1.0" encoding="utf-8"?>
<formControlPr xmlns="http://schemas.microsoft.com/office/spreadsheetml/2009/9/main" objectType="Drop" dropLines="1" dropStyle="combo" dx="16" fmlaLink="I27" fmlaRange="$AX$1" noThreeD="1" sel="0" val="0"/>
</file>

<file path=xl/ctrlProps/ctrlProp7.xml><?xml version="1.0" encoding="utf-8"?>
<formControlPr xmlns="http://schemas.microsoft.com/office/spreadsheetml/2009/9/main" objectType="Drop" dropLines="1" dropStyle="combo" dx="16" fmlaLink="I29" fmlaRange="$AY$1" noThreeD="1" sel="0" val="0"/>
</file>

<file path=xl/ctrlProps/ctrlProp8.xml><?xml version="1.0" encoding="utf-8"?>
<formControlPr xmlns="http://schemas.microsoft.com/office/spreadsheetml/2009/9/main" objectType="Drop" dropLines="3" dropStyle="combo" dx="16" fmlaLink="I31" fmlaRange="$AZ$1:$AZ$3" noThreeD="1" sel="0" val="0"/>
</file>

<file path=xl/ctrlProps/ctrlProp9.xml><?xml version="1.0" encoding="utf-8"?>
<formControlPr xmlns="http://schemas.microsoft.com/office/spreadsheetml/2009/9/main" objectType="Drop" dropLines="11" dropStyle="combo" dx="16" fmlaLink="I17" fmlaRange="$BA$1:$BA$11" noThreeD="1" sel="0" val="0"/>
</file>

<file path=xl/ctrlProps/ctrlProp10.xml><?xml version="1.0" encoding="utf-8"?>
<formControlPr xmlns="http://schemas.microsoft.com/office/spreadsheetml/2009/9/main" objectType="Drop" dropLines="4" dropStyle="combo" dx="16" fmlaLink="I17" fmlaRange="$AS$1:$AS$4" noThreeD="1" sel="0" val="0"/>
</file>

<file path=xl/ctrlProps/ctrlProp11.xml><?xml version="1.0" encoding="utf-8"?>
<formControlPr xmlns="http://schemas.microsoft.com/office/spreadsheetml/2009/9/main" objectType="Drop" dropLines="2" dropStyle="combo" dx="16" fmlaLink="I19" fmlaRange="$AT$1:$AT$2" noThreeD="1" sel="0" val="0"/>
</file>

<file path=xl/ctrlProps/ctrlProp12.xml><?xml version="1.0" encoding="utf-8"?>
<formControlPr xmlns="http://schemas.microsoft.com/office/spreadsheetml/2009/9/main" objectType="Drop" dropLines="4" dropStyle="combo" dx="16" fmlaRange="$AS$1:$AS$4" noThreeD="1" sel="3" val="0"/>
</file>

<file path=xl/ctrlProps/ctrlProp13.xml><?xml version="1.0" encoding="utf-8"?>
<formControlPr xmlns="http://schemas.microsoft.com/office/spreadsheetml/2009/9/main" objectType="Drop" dropLines="2" dropStyle="combo" dx="16" fmlaLink="I19" fmlaRange="$AT$1:$AT$2" noThreeD="1" val="0"/>
</file>

<file path=xl/ctrlProps/ctrlProp14.xml><?xml version="1.0" encoding="utf-8"?>
<formControlPr xmlns="http://schemas.microsoft.com/office/spreadsheetml/2009/9/main" objectType="Drop" dropLines="1" dropStyle="combo" dx="16" fmlaLink="I19" fmlaRange="$AT$1" noThreeD="1" val="0"/>
</file>

<file path=xl/ctrlProps/ctrlProp15.xml><?xml version="1.0" encoding="utf-8"?>
<formControlPr xmlns="http://schemas.microsoft.com/office/spreadsheetml/2009/9/main" objectType="Drop" dropLines="1" dropStyle="combo" dx="16" fmlaLink="I21" fmlaRange="$AU$1" noThreeD="1" val="0"/>
</file>

<file path=xl/ctrlProps/ctrlProp16.xml><?xml version="1.0" encoding="utf-8"?>
<formControlPr xmlns="http://schemas.microsoft.com/office/spreadsheetml/2009/9/main" objectType="Drop" dropLines="1" dropStyle="combo" dx="16" fmlaLink="I15" fmlaRange="$AS$1" noThreeD="1" val="0"/>
</file>

<file path=xl/ctrlProps/ctrlProp17.xml><?xml version="1.0" encoding="utf-8"?>
<formControlPr xmlns="http://schemas.microsoft.com/office/spreadsheetml/2009/9/main" objectType="Drop" dropLines="1" dropStyle="combo" dx="16" fmlaLink="I23" fmlaRange="$AV$1" noThreeD="1" val="0"/>
</file>

<file path=xl/ctrlProps/ctrlProp18.xml><?xml version="1.0" encoding="utf-8"?>
<formControlPr xmlns="http://schemas.microsoft.com/office/spreadsheetml/2009/9/main" objectType="Drop" dropLines="1" dropStyle="combo" dx="16" fmlaLink="I25" fmlaRange="$AW$1" noThreeD="1" val="0"/>
</file>

<file path=xl/ctrlProps/ctrlProp19.xml><?xml version="1.0" encoding="utf-8"?>
<formControlPr xmlns="http://schemas.microsoft.com/office/spreadsheetml/2009/9/main" objectType="Drop" dropLines="1" dropStyle="combo" dx="16" fmlaLink="I27" fmlaRange="$AX$1" noThreeD="1" val="0"/>
</file>

<file path=xl/ctrlProps/ctrlProp20.xml><?xml version="1.0" encoding="utf-8"?>
<formControlPr xmlns="http://schemas.microsoft.com/office/spreadsheetml/2009/9/main" objectType="Drop" dropLines="1" dropStyle="combo" dx="16" fmlaLink="I29" fmlaRange="$AY$1" noThreeD="1" val="0"/>
</file>

<file path=xl/ctrlProps/ctrlProp21.xml><?xml version="1.0" encoding="utf-8"?>
<formControlPr xmlns="http://schemas.microsoft.com/office/spreadsheetml/2009/9/main" objectType="Drop" dropLines="3" dropStyle="combo" dx="16" fmlaLink="I31" fmlaRange="$AZ$1:$AZ$3" noThreeD="1" val="0"/>
</file>

<file path=xl/ctrlProps/ctrlProp22.xml><?xml version="1.0" encoding="utf-8"?>
<formControlPr xmlns="http://schemas.microsoft.com/office/spreadsheetml/2009/9/main" objectType="Drop" dropLines="11" dropStyle="combo" dx="16" fmlaLink="I17" fmlaRange="$BA$1:$BA$11" noThreeD="1" sel="3" val="0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Drop" dropLines="3" dropStyle="combo" dx="16" fmlaLink="E20" fmlaRange="$W$1:$W$3" noThreeD="1" sel="0" val="0"/>
</file>

<file path=xl/ctrlProps/ctrlProp25.xml><?xml version="1.0" encoding="utf-8"?>
<formControlPr xmlns="http://schemas.microsoft.com/office/spreadsheetml/2009/9/main" objectType="Drop" dropLines="4" dropStyle="combo" dx="16" fmlaLink="F20" fmlaRange="$Y$1:$Y$4" noThreeD="1" sel="0" val="0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Drop" dropLines="3" dropStyle="combo" dx="16" fmlaLink="E20" fmlaRange="$Y$1:$Y$3" noThreeD="1" sel="0" val="0"/>
</file>

<file path=xl/ctrlProps/ctrlProp29.xml><?xml version="1.0" encoding="utf-8"?>
<formControlPr xmlns="http://schemas.microsoft.com/office/spreadsheetml/2009/9/main" objectType="Drop" dropLines="4" dropStyle="combo" dx="16" fmlaLink="F20" fmlaRange="$AA$1:$AA$4" noThreeD="1" sel="0" val="0"/>
</file>

<file path=xl/ctrlProps/ctrlProp30.xml><?xml version="1.0" encoding="utf-8"?>
<formControlPr xmlns="http://schemas.microsoft.com/office/spreadsheetml/2009/9/main" objectType="Drop" dropLines="2" dropStyle="combo" dx="16" fmlaLink="G20" fmlaRange="$AC$1:$AC$2" noThreeD="1" sel="0" val="0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jpeg"/><Relationship Id="rId4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4.jpeg"/><Relationship Id="rId7" Type="http://schemas.openxmlformats.org/officeDocument/2006/relationships/image" Target="../media/image6.jpe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9.jpeg"/><Relationship Id="rId4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4.jpeg"/><Relationship Id="rId7" Type="http://schemas.openxmlformats.org/officeDocument/2006/relationships/image" Target="../media/image6.jpe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9.jpeg"/><Relationship Id="rId4" Type="http://schemas.openxmlformats.org/officeDocument/2006/relationships/image" Target="../media/image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jpe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43</xdr:col>
      <xdr:colOff>190500</xdr:colOff>
      <xdr:row>5</xdr:row>
      <xdr:rowOff>152400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43</xdr:col>
      <xdr:colOff>190500</xdr:colOff>
      <xdr:row>5</xdr:row>
      <xdr:rowOff>152400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42</xdr:col>
      <xdr:colOff>66675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6386" name="Drop Dow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6387" name="Drop Dow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6390" name="Drop Dow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6391" name="Drop Dow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6392" name="Drop Down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6393" name="Drop Down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43</xdr:col>
      <xdr:colOff>190500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42</xdr:col>
      <xdr:colOff>66675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16</xdr:row>
          <xdr:rowOff>0</xdr:rowOff>
        </xdr:from>
        <xdr:to>
          <xdr:col>14</xdr:col>
          <xdr:colOff>304800</xdr:colOff>
          <xdr:row>17</xdr:row>
          <xdr:rowOff>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18</xdr:row>
          <xdr:rowOff>0</xdr:rowOff>
        </xdr:from>
        <xdr:to>
          <xdr:col>14</xdr:col>
          <xdr:colOff>304800</xdr:colOff>
          <xdr:row>19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42</xdr:col>
      <xdr:colOff>66675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16</xdr:row>
          <xdr:rowOff>0</xdr:rowOff>
        </xdr:from>
        <xdr:to>
          <xdr:col>14</xdr:col>
          <xdr:colOff>304800</xdr:colOff>
          <xdr:row>17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18</xdr:row>
          <xdr:rowOff>0</xdr:rowOff>
        </xdr:from>
        <xdr:to>
          <xdr:col>14</xdr:col>
          <xdr:colOff>304800</xdr:colOff>
          <xdr:row>19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40</xdr:col>
      <xdr:colOff>276225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42</xdr:col>
      <xdr:colOff>66675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15</xdr:col>
          <xdr:colOff>0</xdr:colOff>
          <xdr:row>19</xdr:row>
          <xdr:rowOff>0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15</xdr:col>
          <xdr:colOff>0</xdr:colOff>
          <xdr:row>15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15</xdr:col>
          <xdr:colOff>0</xdr:colOff>
          <xdr:row>25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15</xdr:col>
          <xdr:colOff>0</xdr:colOff>
          <xdr:row>29</xdr:row>
          <xdr:rowOff>0</xdr:rowOff>
        </xdr:to>
        <xdr:sp macro="" textlink="">
          <xdr:nvSpPr>
            <xdr:cNvPr id="12297" name="Drop Dow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15</xdr:col>
          <xdr:colOff>0</xdr:colOff>
          <xdr:row>31</xdr:row>
          <xdr:rowOff>0</xdr:rowOff>
        </xdr:to>
        <xdr:sp macro="" textlink="">
          <xdr:nvSpPr>
            <xdr:cNvPr id="12298" name="Drop Dow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15</xdr:col>
          <xdr:colOff>0</xdr:colOff>
          <xdr:row>17</xdr:row>
          <xdr:rowOff>0</xdr:rowOff>
        </xdr:to>
        <xdr:sp macro="" textlink="">
          <xdr:nvSpPr>
            <xdr:cNvPr id="12299" name="Drop Down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42</xdr:col>
      <xdr:colOff>142875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22</xdr:col>
      <xdr:colOff>139549</xdr:colOff>
      <xdr:row>11</xdr:row>
      <xdr:rowOff>19616</xdr:rowOff>
    </xdr:from>
    <xdr:to>
      <xdr:col>23</xdr:col>
      <xdr:colOff>187165</xdr:colOff>
      <xdr:row>11</xdr:row>
      <xdr:rowOff>200106</xdr:rowOff>
    </xdr:to>
    <xdr:grpSp>
      <xdr:nvGrpSpPr>
        <xdr:cNvPr id="9" name="Group 8"/>
        <xdr:cNvGrpSpPr>
          <a:grpSpLocks noChangeAspect="1"/>
        </xdr:cNvGrpSpPr>
      </xdr:nvGrpSpPr>
      <xdr:grpSpPr>
        <a:xfrm>
          <a:off x="7416649" y="2381816"/>
          <a:ext cx="361941" cy="180490"/>
          <a:chOff x="4924425" y="4276725"/>
          <a:chExt cx="1200150" cy="600075"/>
        </a:xfrm>
      </xdr:grpSpPr>
      <xdr:pic>
        <xdr:nvPicPr>
          <xdr:cNvPr id="7" name="Picture 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8" name="Picture 7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22</xdr:col>
      <xdr:colOff>139549</xdr:colOff>
      <xdr:row>13</xdr:row>
      <xdr:rowOff>30101</xdr:rowOff>
    </xdr:from>
    <xdr:to>
      <xdr:col>23</xdr:col>
      <xdr:colOff>187165</xdr:colOff>
      <xdr:row>13</xdr:row>
      <xdr:rowOff>211071</xdr:rowOff>
    </xdr:to>
    <xdr:grpSp>
      <xdr:nvGrpSpPr>
        <xdr:cNvPr id="13" name="Group 12"/>
        <xdr:cNvGrpSpPr>
          <a:grpSpLocks noChangeAspect="1"/>
        </xdr:cNvGrpSpPr>
      </xdr:nvGrpSpPr>
      <xdr:grpSpPr>
        <a:xfrm>
          <a:off x="7416649" y="2849501"/>
          <a:ext cx="361941" cy="180970"/>
          <a:chOff x="4924425" y="4276725"/>
          <a:chExt cx="1200150" cy="600075"/>
        </a:xfrm>
      </xdr:grpSpPr>
      <xdr:pic>
        <xdr:nvPicPr>
          <xdr:cNvPr id="14" name="Picture 13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Picture 14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22</xdr:col>
      <xdr:colOff>139549</xdr:colOff>
      <xdr:row>12</xdr:row>
      <xdr:rowOff>26277</xdr:rowOff>
    </xdr:from>
    <xdr:to>
      <xdr:col>23</xdr:col>
      <xdr:colOff>187165</xdr:colOff>
      <xdr:row>12</xdr:row>
      <xdr:rowOff>206767</xdr:rowOff>
    </xdr:to>
    <xdr:grpSp>
      <xdr:nvGrpSpPr>
        <xdr:cNvPr id="17" name="Group 16"/>
        <xdr:cNvGrpSpPr>
          <a:grpSpLocks noChangeAspect="1"/>
        </xdr:cNvGrpSpPr>
      </xdr:nvGrpSpPr>
      <xdr:grpSpPr>
        <a:xfrm>
          <a:off x="7416649" y="2617077"/>
          <a:ext cx="361941" cy="180490"/>
          <a:chOff x="4924425" y="4276725"/>
          <a:chExt cx="1200150" cy="600075"/>
        </a:xfrm>
      </xdr:grpSpPr>
      <xdr:pic>
        <xdr:nvPicPr>
          <xdr:cNvPr id="18" name="Picture 17"/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9" name="Picture 18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42</xdr:col>
      <xdr:colOff>0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8</xdr:row>
          <xdr:rowOff>28575</xdr:rowOff>
        </xdr:from>
        <xdr:to>
          <xdr:col>3</xdr:col>
          <xdr:colOff>361950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295275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176213</xdr:colOff>
      <xdr:row>13</xdr:row>
      <xdr:rowOff>28575</xdr:rowOff>
    </xdr:from>
    <xdr:to>
      <xdr:col>11</xdr:col>
      <xdr:colOff>223829</xdr:colOff>
      <xdr:row>13</xdr:row>
      <xdr:rowOff>209065</xdr:rowOff>
    </xdr:to>
    <xdr:grpSp>
      <xdr:nvGrpSpPr>
        <xdr:cNvPr id="3" name="Group 2"/>
        <xdr:cNvGrpSpPr>
          <a:grpSpLocks noChangeAspect="1"/>
        </xdr:cNvGrpSpPr>
      </xdr:nvGrpSpPr>
      <xdr:grpSpPr>
        <a:xfrm>
          <a:off x="10444163" y="2543175"/>
          <a:ext cx="361941" cy="180490"/>
          <a:chOff x="4924425" y="4276725"/>
          <a:chExt cx="1200150" cy="600075"/>
        </a:xfrm>
      </xdr:grpSpPr>
      <xdr:pic>
        <xdr:nvPicPr>
          <xdr:cNvPr id="4" name="Picture 3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" name="Picture 4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10</xdr:col>
      <xdr:colOff>176213</xdr:colOff>
      <xdr:row>15</xdr:row>
      <xdr:rowOff>39060</xdr:rowOff>
    </xdr:from>
    <xdr:to>
      <xdr:col>11</xdr:col>
      <xdr:colOff>223829</xdr:colOff>
      <xdr:row>15</xdr:row>
      <xdr:rowOff>220030</xdr:rowOff>
    </xdr:to>
    <xdr:grpSp>
      <xdr:nvGrpSpPr>
        <xdr:cNvPr id="6" name="Group 5"/>
        <xdr:cNvGrpSpPr>
          <a:grpSpLocks noChangeAspect="1"/>
        </xdr:cNvGrpSpPr>
      </xdr:nvGrpSpPr>
      <xdr:grpSpPr>
        <a:xfrm>
          <a:off x="10444163" y="3010860"/>
          <a:ext cx="361941" cy="180970"/>
          <a:chOff x="4924425" y="4276725"/>
          <a:chExt cx="1200150" cy="600075"/>
        </a:xfrm>
      </xdr:grpSpPr>
      <xdr:pic>
        <xdr:nvPicPr>
          <xdr:cNvPr id="7" name="Picture 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8" name="Picture 7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10</xdr:col>
      <xdr:colOff>176213</xdr:colOff>
      <xdr:row>14</xdr:row>
      <xdr:rowOff>35236</xdr:rowOff>
    </xdr:from>
    <xdr:to>
      <xdr:col>11</xdr:col>
      <xdr:colOff>223829</xdr:colOff>
      <xdr:row>14</xdr:row>
      <xdr:rowOff>215726</xdr:rowOff>
    </xdr:to>
    <xdr:grpSp>
      <xdr:nvGrpSpPr>
        <xdr:cNvPr id="9" name="Group 8"/>
        <xdr:cNvGrpSpPr>
          <a:grpSpLocks noChangeAspect="1"/>
        </xdr:cNvGrpSpPr>
      </xdr:nvGrpSpPr>
      <xdr:grpSpPr>
        <a:xfrm>
          <a:off x="10444163" y="2778436"/>
          <a:ext cx="361941" cy="180490"/>
          <a:chOff x="4924425" y="4276725"/>
          <a:chExt cx="1200150" cy="600075"/>
        </a:xfrm>
      </xdr:grpSpPr>
      <xdr:pic>
        <xdr:nvPicPr>
          <xdr:cNvPr id="10" name="Picture 9"/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Picture 10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10</xdr:col>
      <xdr:colOff>176213</xdr:colOff>
      <xdr:row>16</xdr:row>
      <xdr:rowOff>28575</xdr:rowOff>
    </xdr:from>
    <xdr:to>
      <xdr:col>11</xdr:col>
      <xdr:colOff>223829</xdr:colOff>
      <xdr:row>16</xdr:row>
      <xdr:rowOff>209065</xdr:rowOff>
    </xdr:to>
    <xdr:grpSp>
      <xdr:nvGrpSpPr>
        <xdr:cNvPr id="12" name="Group 11"/>
        <xdr:cNvGrpSpPr>
          <a:grpSpLocks noChangeAspect="1"/>
        </xdr:cNvGrpSpPr>
      </xdr:nvGrpSpPr>
      <xdr:grpSpPr>
        <a:xfrm>
          <a:off x="10444163" y="3228975"/>
          <a:ext cx="361941" cy="180490"/>
          <a:chOff x="4924425" y="4276725"/>
          <a:chExt cx="1200150" cy="600075"/>
        </a:xfrm>
      </xdr:grpSpPr>
      <xdr:pic>
        <xdr:nvPicPr>
          <xdr:cNvPr id="13" name="Picture 12"/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Picture 13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10</xdr:col>
      <xdr:colOff>176213</xdr:colOff>
      <xdr:row>18</xdr:row>
      <xdr:rowOff>29535</xdr:rowOff>
    </xdr:from>
    <xdr:to>
      <xdr:col>11</xdr:col>
      <xdr:colOff>223829</xdr:colOff>
      <xdr:row>18</xdr:row>
      <xdr:rowOff>210505</xdr:rowOff>
    </xdr:to>
    <xdr:grpSp>
      <xdr:nvGrpSpPr>
        <xdr:cNvPr id="15" name="Group 14"/>
        <xdr:cNvGrpSpPr>
          <a:grpSpLocks noChangeAspect="1"/>
        </xdr:cNvGrpSpPr>
      </xdr:nvGrpSpPr>
      <xdr:grpSpPr>
        <a:xfrm>
          <a:off x="10444163" y="3687135"/>
          <a:ext cx="361941" cy="180970"/>
          <a:chOff x="4924425" y="4276725"/>
          <a:chExt cx="1200150" cy="600075"/>
        </a:xfrm>
      </xdr:grpSpPr>
      <xdr:pic>
        <xdr:nvPicPr>
          <xdr:cNvPr id="16" name="Picture 15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7" name="Picture 16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10</xdr:col>
      <xdr:colOff>176213</xdr:colOff>
      <xdr:row>17</xdr:row>
      <xdr:rowOff>25711</xdr:rowOff>
    </xdr:from>
    <xdr:to>
      <xdr:col>11</xdr:col>
      <xdr:colOff>223829</xdr:colOff>
      <xdr:row>17</xdr:row>
      <xdr:rowOff>206201</xdr:rowOff>
    </xdr:to>
    <xdr:grpSp>
      <xdr:nvGrpSpPr>
        <xdr:cNvPr id="18" name="Group 17"/>
        <xdr:cNvGrpSpPr>
          <a:grpSpLocks noChangeAspect="1"/>
        </xdr:cNvGrpSpPr>
      </xdr:nvGrpSpPr>
      <xdr:grpSpPr>
        <a:xfrm>
          <a:off x="10444163" y="3454711"/>
          <a:ext cx="361941" cy="180490"/>
          <a:chOff x="4924425" y="4276725"/>
          <a:chExt cx="1200150" cy="600075"/>
        </a:xfrm>
      </xdr:grpSpPr>
      <xdr:pic>
        <xdr:nvPicPr>
          <xdr:cNvPr id="19" name="Picture 18"/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" name="Picture 19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19</xdr:row>
          <xdr:rowOff>28575</xdr:rowOff>
        </xdr:from>
        <xdr:to>
          <xdr:col>4</xdr:col>
          <xdr:colOff>1162050</xdr:colOff>
          <xdr:row>19</xdr:row>
          <xdr:rowOff>219075</xdr:rowOff>
        </xdr:to>
        <xdr:sp macro="" textlink="">
          <xdr:nvSpPr>
            <xdr:cNvPr id="25601" name="Drop Dow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28575</xdr:rowOff>
        </xdr:from>
        <xdr:to>
          <xdr:col>6</xdr:col>
          <xdr:colOff>9525</xdr:colOff>
          <xdr:row>19</xdr:row>
          <xdr:rowOff>219075</xdr:rowOff>
        </xdr:to>
        <xdr:sp macro="" textlink="">
          <xdr:nvSpPr>
            <xdr:cNvPr id="25602" name="Drop Dow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10</xdr:col>
      <xdr:colOff>271458</xdr:colOff>
      <xdr:row>19</xdr:row>
      <xdr:rowOff>23559</xdr:rowOff>
    </xdr:from>
    <xdr:to>
      <xdr:col>11</xdr:col>
      <xdr:colOff>128583</xdr:colOff>
      <xdr:row>19</xdr:row>
      <xdr:rowOff>189651</xdr:rowOff>
    </xdr:to>
    <xdr:pic>
      <xdr:nvPicPr>
        <xdr:cNvPr id="23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39408" y="3909759"/>
          <a:ext cx="171450" cy="166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723900</xdr:colOff>
          <xdr:row>20</xdr:row>
          <xdr:rowOff>114300</xdr:rowOff>
        </xdr:from>
        <xdr:to>
          <xdr:col>12</xdr:col>
          <xdr:colOff>0</xdr:colOff>
          <xdr:row>21</xdr:row>
          <xdr:rowOff>85725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Bid Doc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20</xdr:row>
          <xdr:rowOff>114300</xdr:rowOff>
        </xdr:from>
        <xdr:to>
          <xdr:col>9</xdr:col>
          <xdr:colOff>600075</xdr:colOff>
          <xdr:row>21</xdr:row>
          <xdr:rowOff>85725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PO Doc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42</xdr:col>
      <xdr:colOff>66675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95250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176213</xdr:colOff>
      <xdr:row>13</xdr:row>
      <xdr:rowOff>28575</xdr:rowOff>
    </xdr:from>
    <xdr:to>
      <xdr:col>12</xdr:col>
      <xdr:colOff>538154</xdr:colOff>
      <xdr:row>13</xdr:row>
      <xdr:rowOff>209065</xdr:rowOff>
    </xdr:to>
    <xdr:grpSp>
      <xdr:nvGrpSpPr>
        <xdr:cNvPr id="3" name="Group 2"/>
        <xdr:cNvGrpSpPr>
          <a:grpSpLocks noChangeAspect="1"/>
        </xdr:cNvGrpSpPr>
      </xdr:nvGrpSpPr>
      <xdr:grpSpPr>
        <a:xfrm>
          <a:off x="11768138" y="2724150"/>
          <a:ext cx="361941" cy="180490"/>
          <a:chOff x="4924425" y="4276725"/>
          <a:chExt cx="1200150" cy="600075"/>
        </a:xfrm>
      </xdr:grpSpPr>
      <xdr:pic>
        <xdr:nvPicPr>
          <xdr:cNvPr id="4" name="Picture 3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" name="Picture 4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12</xdr:col>
      <xdr:colOff>176213</xdr:colOff>
      <xdr:row>15</xdr:row>
      <xdr:rowOff>39060</xdr:rowOff>
    </xdr:from>
    <xdr:to>
      <xdr:col>12</xdr:col>
      <xdr:colOff>538154</xdr:colOff>
      <xdr:row>15</xdr:row>
      <xdr:rowOff>220030</xdr:rowOff>
    </xdr:to>
    <xdr:grpSp>
      <xdr:nvGrpSpPr>
        <xdr:cNvPr id="6" name="Group 5"/>
        <xdr:cNvGrpSpPr>
          <a:grpSpLocks noChangeAspect="1"/>
        </xdr:cNvGrpSpPr>
      </xdr:nvGrpSpPr>
      <xdr:grpSpPr>
        <a:xfrm>
          <a:off x="11768138" y="3191835"/>
          <a:ext cx="361941" cy="180970"/>
          <a:chOff x="4924425" y="4276725"/>
          <a:chExt cx="1200150" cy="600075"/>
        </a:xfrm>
      </xdr:grpSpPr>
      <xdr:pic>
        <xdr:nvPicPr>
          <xdr:cNvPr id="7" name="Picture 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8" name="Picture 7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12</xdr:col>
      <xdr:colOff>176213</xdr:colOff>
      <xdr:row>14</xdr:row>
      <xdr:rowOff>35236</xdr:rowOff>
    </xdr:from>
    <xdr:to>
      <xdr:col>12</xdr:col>
      <xdr:colOff>538154</xdr:colOff>
      <xdr:row>14</xdr:row>
      <xdr:rowOff>215726</xdr:rowOff>
    </xdr:to>
    <xdr:grpSp>
      <xdr:nvGrpSpPr>
        <xdr:cNvPr id="9" name="Group 8"/>
        <xdr:cNvGrpSpPr>
          <a:grpSpLocks noChangeAspect="1"/>
        </xdr:cNvGrpSpPr>
      </xdr:nvGrpSpPr>
      <xdr:grpSpPr>
        <a:xfrm>
          <a:off x="11768138" y="2959411"/>
          <a:ext cx="361941" cy="180490"/>
          <a:chOff x="4924425" y="4276725"/>
          <a:chExt cx="1200150" cy="600075"/>
        </a:xfrm>
      </xdr:grpSpPr>
      <xdr:pic>
        <xdr:nvPicPr>
          <xdr:cNvPr id="10" name="Picture 9"/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Picture 10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12</xdr:col>
      <xdr:colOff>176213</xdr:colOff>
      <xdr:row>16</xdr:row>
      <xdr:rowOff>28575</xdr:rowOff>
    </xdr:from>
    <xdr:to>
      <xdr:col>12</xdr:col>
      <xdr:colOff>538154</xdr:colOff>
      <xdr:row>16</xdr:row>
      <xdr:rowOff>209065</xdr:rowOff>
    </xdr:to>
    <xdr:grpSp>
      <xdr:nvGrpSpPr>
        <xdr:cNvPr id="12" name="Group 11"/>
        <xdr:cNvGrpSpPr>
          <a:grpSpLocks noChangeAspect="1"/>
        </xdr:cNvGrpSpPr>
      </xdr:nvGrpSpPr>
      <xdr:grpSpPr>
        <a:xfrm>
          <a:off x="11768138" y="3409950"/>
          <a:ext cx="361941" cy="180490"/>
          <a:chOff x="4924425" y="4276725"/>
          <a:chExt cx="1200150" cy="600075"/>
        </a:xfrm>
      </xdr:grpSpPr>
      <xdr:pic>
        <xdr:nvPicPr>
          <xdr:cNvPr id="13" name="Picture 12"/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Picture 13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12</xdr:col>
      <xdr:colOff>176213</xdr:colOff>
      <xdr:row>18</xdr:row>
      <xdr:rowOff>29535</xdr:rowOff>
    </xdr:from>
    <xdr:to>
      <xdr:col>12</xdr:col>
      <xdr:colOff>538154</xdr:colOff>
      <xdr:row>18</xdr:row>
      <xdr:rowOff>210505</xdr:rowOff>
    </xdr:to>
    <xdr:grpSp>
      <xdr:nvGrpSpPr>
        <xdr:cNvPr id="15" name="Group 14"/>
        <xdr:cNvGrpSpPr>
          <a:grpSpLocks noChangeAspect="1"/>
        </xdr:cNvGrpSpPr>
      </xdr:nvGrpSpPr>
      <xdr:grpSpPr>
        <a:xfrm>
          <a:off x="11768138" y="3868110"/>
          <a:ext cx="361941" cy="180970"/>
          <a:chOff x="4924425" y="4276725"/>
          <a:chExt cx="1200150" cy="600075"/>
        </a:xfrm>
      </xdr:grpSpPr>
      <xdr:pic>
        <xdr:nvPicPr>
          <xdr:cNvPr id="16" name="Picture 15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7" name="Picture 16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12</xdr:col>
      <xdr:colOff>176213</xdr:colOff>
      <xdr:row>17</xdr:row>
      <xdr:rowOff>25711</xdr:rowOff>
    </xdr:from>
    <xdr:to>
      <xdr:col>12</xdr:col>
      <xdr:colOff>538154</xdr:colOff>
      <xdr:row>17</xdr:row>
      <xdr:rowOff>206201</xdr:rowOff>
    </xdr:to>
    <xdr:grpSp>
      <xdr:nvGrpSpPr>
        <xdr:cNvPr id="18" name="Group 17"/>
        <xdr:cNvGrpSpPr>
          <a:grpSpLocks noChangeAspect="1"/>
        </xdr:cNvGrpSpPr>
      </xdr:nvGrpSpPr>
      <xdr:grpSpPr>
        <a:xfrm>
          <a:off x="11768138" y="3635686"/>
          <a:ext cx="361941" cy="180490"/>
          <a:chOff x="4924425" y="4276725"/>
          <a:chExt cx="1200150" cy="600075"/>
        </a:xfrm>
      </xdr:grpSpPr>
      <xdr:pic>
        <xdr:nvPicPr>
          <xdr:cNvPr id="19" name="Picture 18"/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" name="Picture 19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19</xdr:row>
          <xdr:rowOff>28575</xdr:rowOff>
        </xdr:from>
        <xdr:to>
          <xdr:col>4</xdr:col>
          <xdr:colOff>1162050</xdr:colOff>
          <xdr:row>20</xdr:row>
          <xdr:rowOff>0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19</xdr:row>
          <xdr:rowOff>28575</xdr:rowOff>
        </xdr:from>
        <xdr:to>
          <xdr:col>5</xdr:col>
          <xdr:colOff>800100</xdr:colOff>
          <xdr:row>20</xdr:row>
          <xdr:rowOff>0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12</xdr:col>
      <xdr:colOff>271458</xdr:colOff>
      <xdr:row>19</xdr:row>
      <xdr:rowOff>23559</xdr:rowOff>
    </xdr:from>
    <xdr:to>
      <xdr:col>12</xdr:col>
      <xdr:colOff>442908</xdr:colOff>
      <xdr:row>19</xdr:row>
      <xdr:rowOff>189651</xdr:rowOff>
    </xdr:to>
    <xdr:pic>
      <xdr:nvPicPr>
        <xdr:cNvPr id="23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3383" y="4090734"/>
          <a:ext cx="171450" cy="166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28575</xdr:rowOff>
        </xdr:from>
        <xdr:to>
          <xdr:col>6</xdr:col>
          <xdr:colOff>904875</xdr:colOff>
          <xdr:row>20</xdr:row>
          <xdr:rowOff>0</xdr:rowOff>
        </xdr:to>
        <xdr:sp macro="" textlink="">
          <xdr:nvSpPr>
            <xdr:cNvPr id="30725" name="Drop Dow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771525</xdr:colOff>
          <xdr:row>20</xdr:row>
          <xdr:rowOff>123825</xdr:rowOff>
        </xdr:from>
        <xdr:to>
          <xdr:col>12</xdr:col>
          <xdr:colOff>752475</xdr:colOff>
          <xdr:row>21</xdr:row>
          <xdr:rowOff>95250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Bid Doc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647700</xdr:colOff>
          <xdr:row>20</xdr:row>
          <xdr:rowOff>123825</xdr:rowOff>
        </xdr:from>
        <xdr:to>
          <xdr:col>11</xdr:col>
          <xdr:colOff>647700</xdr:colOff>
          <xdr:row>21</xdr:row>
          <xdr:rowOff>95250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PO Doc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42</xdr:col>
      <xdr:colOff>66675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38</xdr:col>
      <xdr:colOff>209550</xdr:colOff>
      <xdr:row>5</xdr:row>
      <xdr:rowOff>152400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70647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21</xdr:col>
      <xdr:colOff>130024</xdr:colOff>
      <xdr:row>11</xdr:row>
      <xdr:rowOff>19616</xdr:rowOff>
    </xdr:from>
    <xdr:to>
      <xdr:col>22</xdr:col>
      <xdr:colOff>177640</xdr:colOff>
      <xdr:row>11</xdr:row>
      <xdr:rowOff>200106</xdr:rowOff>
    </xdr:to>
    <xdr:grpSp>
      <xdr:nvGrpSpPr>
        <xdr:cNvPr id="3" name="Group 2"/>
        <xdr:cNvGrpSpPr>
          <a:grpSpLocks noChangeAspect="1"/>
        </xdr:cNvGrpSpPr>
      </xdr:nvGrpSpPr>
      <xdr:grpSpPr>
        <a:xfrm>
          <a:off x="8283424" y="2381816"/>
          <a:ext cx="361941" cy="180490"/>
          <a:chOff x="4924425" y="4276725"/>
          <a:chExt cx="1200150" cy="600075"/>
        </a:xfrm>
      </xdr:grpSpPr>
      <xdr:pic>
        <xdr:nvPicPr>
          <xdr:cNvPr id="4" name="Picture 3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" name="Picture 4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21</xdr:col>
      <xdr:colOff>130024</xdr:colOff>
      <xdr:row>13</xdr:row>
      <xdr:rowOff>30101</xdr:rowOff>
    </xdr:from>
    <xdr:to>
      <xdr:col>22</xdr:col>
      <xdr:colOff>177640</xdr:colOff>
      <xdr:row>13</xdr:row>
      <xdr:rowOff>211071</xdr:rowOff>
    </xdr:to>
    <xdr:grpSp>
      <xdr:nvGrpSpPr>
        <xdr:cNvPr id="6" name="Group 5"/>
        <xdr:cNvGrpSpPr>
          <a:grpSpLocks noChangeAspect="1"/>
        </xdr:cNvGrpSpPr>
      </xdr:nvGrpSpPr>
      <xdr:grpSpPr>
        <a:xfrm>
          <a:off x="8283424" y="2849501"/>
          <a:ext cx="361941" cy="180970"/>
          <a:chOff x="4924425" y="4276725"/>
          <a:chExt cx="1200150" cy="600075"/>
        </a:xfrm>
      </xdr:grpSpPr>
      <xdr:pic>
        <xdr:nvPicPr>
          <xdr:cNvPr id="7" name="Picture 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8" name="Picture 7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21</xdr:col>
      <xdr:colOff>130024</xdr:colOff>
      <xdr:row>12</xdr:row>
      <xdr:rowOff>26277</xdr:rowOff>
    </xdr:from>
    <xdr:to>
      <xdr:col>22</xdr:col>
      <xdr:colOff>177640</xdr:colOff>
      <xdr:row>12</xdr:row>
      <xdr:rowOff>206767</xdr:rowOff>
    </xdr:to>
    <xdr:grpSp>
      <xdr:nvGrpSpPr>
        <xdr:cNvPr id="9" name="Group 8"/>
        <xdr:cNvGrpSpPr>
          <a:grpSpLocks noChangeAspect="1"/>
        </xdr:cNvGrpSpPr>
      </xdr:nvGrpSpPr>
      <xdr:grpSpPr>
        <a:xfrm>
          <a:off x="8283424" y="2617077"/>
          <a:ext cx="361941" cy="180490"/>
          <a:chOff x="4924425" y="4276725"/>
          <a:chExt cx="1200150" cy="600075"/>
        </a:xfrm>
      </xdr:grpSpPr>
      <xdr:pic>
        <xdr:nvPicPr>
          <xdr:cNvPr id="10" name="Picture 9"/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14975" y="4281487"/>
            <a:ext cx="609600" cy="5905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Picture 10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24425" y="4276725"/>
            <a:ext cx="590550" cy="600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1</xdr:row>
          <xdr:rowOff>9525</xdr:rowOff>
        </xdr:from>
        <xdr:to>
          <xdr:col>2</xdr:col>
          <xdr:colOff>1752600</xdr:colOff>
          <xdr:row>2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../../../Documents/Sprint/SE03XC438%20CENTRALIA%20CD%20FINAL%2002-19-14%5b1%5d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7" Type="http://schemas.openxmlformats.org/officeDocument/2006/relationships/ctrlProp" Target="../ctrlProps/ctrlProp3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../../../Documents/Sprint/SE03XC438%20CENTRALIA%20CD%20FINAL%2002-19-14%5b1%5d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W17"/>
  <sheetViews>
    <sheetView showGridLines="0" zoomScaleNormal="100" workbookViewId="0">
      <selection activeCell="R16" sqref="R16:W17"/>
    </sheetView>
  </sheetViews>
  <sheetFormatPr defaultColWidth="4.7109375" defaultRowHeight="18" customHeight="1" x14ac:dyDescent="0.25"/>
  <cols>
    <col min="1" max="16384" width="4.7109375" style="25"/>
  </cols>
  <sheetData>
    <row r="3" spans="2:23" s="24" customFormat="1" ht="18" customHeight="1" x14ac:dyDescent="0.25"/>
    <row r="4" spans="2:23" s="24" customFormat="1" ht="18" customHeight="1" x14ac:dyDescent="0.25"/>
    <row r="7" spans="2:23" ht="18" customHeight="1" x14ac:dyDescent="0.25">
      <c r="B7" s="31" t="s">
        <v>108</v>
      </c>
    </row>
    <row r="8" spans="2:23" ht="18" customHeight="1" x14ac:dyDescent="0.25">
      <c r="K8" s="24"/>
      <c r="L8" s="24"/>
      <c r="M8" s="24"/>
      <c r="N8" s="24"/>
      <c r="O8" s="24"/>
      <c r="P8" s="24"/>
    </row>
    <row r="12" spans="2:23" ht="18" customHeight="1" x14ac:dyDescent="0.25">
      <c r="R12" s="104" t="s">
        <v>254</v>
      </c>
      <c r="S12" s="26"/>
      <c r="T12" s="26"/>
      <c r="U12" s="26"/>
      <c r="V12" s="26"/>
      <c r="W12" s="27"/>
    </row>
    <row r="13" spans="2:23" ht="18" customHeight="1" x14ac:dyDescent="0.25">
      <c r="R13" s="24"/>
      <c r="S13" s="24"/>
      <c r="T13" s="24"/>
      <c r="U13" s="24"/>
      <c r="V13" s="24"/>
      <c r="W13" s="24"/>
    </row>
    <row r="14" spans="2:23" ht="18" customHeight="1" x14ac:dyDescent="0.25">
      <c r="R14" s="104" t="s">
        <v>255</v>
      </c>
      <c r="S14" s="26"/>
      <c r="T14" s="26"/>
      <c r="U14" s="26"/>
      <c r="V14" s="26"/>
      <c r="W14" s="27"/>
    </row>
    <row r="15" spans="2:23" ht="18" customHeight="1" x14ac:dyDescent="0.25">
      <c r="R15" s="24"/>
      <c r="S15" s="24"/>
      <c r="T15" s="24"/>
      <c r="U15" s="24"/>
      <c r="V15" s="24"/>
      <c r="W15" s="24"/>
    </row>
    <row r="16" spans="2:23" ht="18" customHeight="1" x14ac:dyDescent="0.25">
      <c r="R16" s="142" t="s">
        <v>107</v>
      </c>
      <c r="S16" s="142"/>
      <c r="T16" s="142"/>
      <c r="U16" s="142"/>
      <c r="V16" s="142"/>
      <c r="W16" s="142"/>
    </row>
    <row r="17" spans="12:23" ht="18" customHeight="1" x14ac:dyDescent="0.2">
      <c r="L17" s="28"/>
      <c r="R17" s="142"/>
      <c r="S17" s="142"/>
      <c r="T17" s="142"/>
      <c r="U17" s="142"/>
      <c r="V17" s="142"/>
      <c r="W17" s="142"/>
    </row>
  </sheetData>
  <mergeCells count="1">
    <mergeCell ref="R16:W17"/>
  </mergeCells>
  <hyperlinks>
    <hyperlink ref="R16:W17" location="Projects!A1" display="Sign in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7:X22"/>
  <sheetViews>
    <sheetView showGridLines="0" workbookViewId="0">
      <selection activeCell="R12" sqref="R12"/>
    </sheetView>
  </sheetViews>
  <sheetFormatPr defaultColWidth="4.7109375" defaultRowHeight="18" customHeight="1" x14ac:dyDescent="0.25"/>
  <cols>
    <col min="1" max="16384" width="4.7109375" style="25"/>
  </cols>
  <sheetData>
    <row r="7" spans="2:24" ht="18" customHeight="1" x14ac:dyDescent="0.25">
      <c r="B7" s="31" t="s">
        <v>109</v>
      </c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</row>
    <row r="8" spans="2:24" ht="6" customHeight="1" x14ac:dyDescent="0.25"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</row>
    <row r="9" spans="2:24" ht="18" customHeight="1" x14ac:dyDescent="0.25">
      <c r="C9" s="37" t="s">
        <v>114</v>
      </c>
      <c r="F9" s="37" t="s">
        <v>115</v>
      </c>
      <c r="H9" s="90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</row>
    <row r="10" spans="2:24" ht="18" customHeight="1" x14ac:dyDescent="0.25"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</row>
    <row r="11" spans="2:24" s="31" customFormat="1" ht="18" customHeight="1" thickBot="1" x14ac:dyDescent="0.3">
      <c r="D11" s="32" t="s">
        <v>112</v>
      </c>
      <c r="E11" s="32"/>
      <c r="F11" s="32"/>
      <c r="G11" s="32"/>
      <c r="H11" s="33" t="s">
        <v>110</v>
      </c>
      <c r="I11" s="32"/>
      <c r="J11" s="33"/>
      <c r="K11" s="34"/>
      <c r="L11" s="33"/>
      <c r="M11" s="33" t="s">
        <v>111</v>
      </c>
      <c r="N11" s="33"/>
      <c r="O11" s="33"/>
      <c r="P11" s="33"/>
      <c r="Q11" s="33" t="s">
        <v>113</v>
      </c>
      <c r="R11" s="33"/>
      <c r="S11" s="33"/>
      <c r="T11" s="35"/>
      <c r="U11" s="35"/>
      <c r="V11" s="35"/>
      <c r="W11" s="35"/>
      <c r="X11" s="35"/>
    </row>
    <row r="12" spans="2:24" ht="18" customHeight="1" x14ac:dyDescent="0.25">
      <c r="D12" s="25" t="s">
        <v>116</v>
      </c>
      <c r="G12" s="36"/>
      <c r="H12" s="36" t="s">
        <v>118</v>
      </c>
      <c r="I12" s="29"/>
      <c r="J12" s="29"/>
      <c r="K12" s="29"/>
      <c r="L12" s="29"/>
      <c r="M12" s="29" t="s">
        <v>117</v>
      </c>
      <c r="N12" s="29"/>
      <c r="O12" s="29"/>
      <c r="P12" s="29"/>
      <c r="Q12" s="36" t="s">
        <v>129</v>
      </c>
      <c r="R12" s="29"/>
      <c r="S12" s="29"/>
      <c r="T12" s="29"/>
    </row>
    <row r="13" spans="2:24" ht="18" customHeight="1" x14ac:dyDescent="0.25">
      <c r="D13" s="38" t="s">
        <v>116</v>
      </c>
      <c r="E13" s="38"/>
      <c r="F13" s="38"/>
      <c r="G13" s="38"/>
      <c r="H13" s="39" t="s">
        <v>119</v>
      </c>
      <c r="I13" s="40"/>
      <c r="J13" s="40"/>
      <c r="K13" s="41"/>
      <c r="L13" s="40"/>
      <c r="M13" s="40" t="s">
        <v>117</v>
      </c>
      <c r="N13" s="40"/>
      <c r="O13" s="40"/>
      <c r="P13" s="40"/>
      <c r="Q13" s="39" t="s">
        <v>130</v>
      </c>
      <c r="R13" s="40"/>
      <c r="S13" s="40"/>
      <c r="T13" s="29"/>
    </row>
    <row r="14" spans="2:24" ht="18" customHeight="1" x14ac:dyDescent="0.25">
      <c r="D14" s="25" t="s">
        <v>116</v>
      </c>
      <c r="H14" s="36" t="s">
        <v>120</v>
      </c>
      <c r="I14" s="29"/>
      <c r="J14" s="29"/>
      <c r="K14" s="29"/>
      <c r="L14" s="29"/>
      <c r="M14" s="29" t="s">
        <v>117</v>
      </c>
      <c r="N14" s="29"/>
      <c r="O14" s="29"/>
      <c r="P14" s="29"/>
      <c r="Q14" s="36" t="s">
        <v>131</v>
      </c>
      <c r="R14" s="29"/>
      <c r="S14" s="29"/>
      <c r="T14" s="29"/>
    </row>
    <row r="15" spans="2:24" ht="18" customHeight="1" x14ac:dyDescent="0.25">
      <c r="D15" s="38" t="s">
        <v>116</v>
      </c>
      <c r="E15" s="38"/>
      <c r="F15" s="38"/>
      <c r="G15" s="38"/>
      <c r="H15" s="39" t="s">
        <v>121</v>
      </c>
      <c r="I15" s="40"/>
      <c r="J15" s="40"/>
      <c r="K15" s="42"/>
      <c r="L15" s="42"/>
      <c r="M15" s="40" t="s">
        <v>117</v>
      </c>
      <c r="N15" s="42"/>
      <c r="O15" s="42"/>
      <c r="P15" s="42"/>
      <c r="Q15" s="39" t="s">
        <v>132</v>
      </c>
      <c r="R15" s="40"/>
      <c r="S15" s="40"/>
      <c r="T15" s="29"/>
    </row>
    <row r="16" spans="2:24" ht="18" customHeight="1" x14ac:dyDescent="0.25">
      <c r="D16" s="25" t="s">
        <v>116</v>
      </c>
      <c r="H16" s="36" t="s">
        <v>122</v>
      </c>
      <c r="I16" s="29"/>
      <c r="J16" s="29"/>
      <c r="K16" s="30"/>
      <c r="L16" s="30"/>
      <c r="M16" s="29" t="s">
        <v>117</v>
      </c>
      <c r="N16" s="30"/>
      <c r="O16" s="30"/>
      <c r="P16" s="30"/>
      <c r="Q16" s="36" t="s">
        <v>133</v>
      </c>
      <c r="R16" s="29"/>
      <c r="S16" s="29"/>
      <c r="T16" s="29"/>
    </row>
    <row r="17" spans="4:20" ht="18" customHeight="1" x14ac:dyDescent="0.25">
      <c r="D17" s="38" t="s">
        <v>116</v>
      </c>
      <c r="E17" s="38"/>
      <c r="F17" s="38"/>
      <c r="G17" s="38"/>
      <c r="H17" s="39" t="s">
        <v>123</v>
      </c>
      <c r="I17" s="40"/>
      <c r="J17" s="40"/>
      <c r="K17" s="40"/>
      <c r="L17" s="40"/>
      <c r="M17" s="40" t="s">
        <v>117</v>
      </c>
      <c r="N17" s="40"/>
      <c r="O17" s="40"/>
      <c r="P17" s="40"/>
      <c r="Q17" s="39" t="s">
        <v>134</v>
      </c>
      <c r="R17" s="40"/>
      <c r="S17" s="40"/>
      <c r="T17" s="29"/>
    </row>
    <row r="18" spans="4:20" ht="18" customHeight="1" x14ac:dyDescent="0.25">
      <c r="D18" s="25" t="s">
        <v>116</v>
      </c>
      <c r="H18" s="36" t="s">
        <v>124</v>
      </c>
      <c r="I18" s="29"/>
      <c r="J18" s="29"/>
      <c r="K18" s="29"/>
      <c r="L18" s="29"/>
      <c r="M18" s="29" t="s">
        <v>117</v>
      </c>
      <c r="N18" s="29"/>
      <c r="O18" s="29"/>
      <c r="P18" s="29"/>
      <c r="Q18" s="36" t="s">
        <v>135</v>
      </c>
      <c r="R18" s="29"/>
      <c r="S18" s="29"/>
      <c r="T18" s="29"/>
    </row>
    <row r="19" spans="4:20" ht="18" customHeight="1" x14ac:dyDescent="0.25">
      <c r="D19" s="38" t="s">
        <v>116</v>
      </c>
      <c r="E19" s="38"/>
      <c r="F19" s="38"/>
      <c r="G19" s="38"/>
      <c r="H19" s="39" t="s">
        <v>125</v>
      </c>
      <c r="I19" s="40"/>
      <c r="J19" s="40"/>
      <c r="K19" s="40"/>
      <c r="L19" s="40"/>
      <c r="M19" s="40" t="s">
        <v>117</v>
      </c>
      <c r="N19" s="40"/>
      <c r="O19" s="40"/>
      <c r="P19" s="40"/>
      <c r="Q19" s="39" t="s">
        <v>136</v>
      </c>
      <c r="R19" s="40"/>
      <c r="S19" s="40"/>
      <c r="T19" s="29"/>
    </row>
    <row r="20" spans="4:20" ht="18" customHeight="1" x14ac:dyDescent="0.25">
      <c r="D20" s="25" t="s">
        <v>116</v>
      </c>
      <c r="H20" s="36" t="s">
        <v>126</v>
      </c>
      <c r="I20" s="29"/>
      <c r="J20" s="29"/>
      <c r="K20" s="29"/>
      <c r="L20" s="29"/>
      <c r="M20" s="29" t="s">
        <v>117</v>
      </c>
      <c r="N20" s="29"/>
      <c r="O20" s="29"/>
      <c r="P20" s="29"/>
      <c r="Q20" s="36" t="s">
        <v>137</v>
      </c>
      <c r="R20" s="29"/>
      <c r="S20" s="29"/>
      <c r="T20" s="29"/>
    </row>
    <row r="21" spans="4:20" ht="18" customHeight="1" x14ac:dyDescent="0.2">
      <c r="D21" s="38" t="s">
        <v>116</v>
      </c>
      <c r="E21" s="38"/>
      <c r="F21" s="38"/>
      <c r="G21" s="38"/>
      <c r="H21" s="39" t="s">
        <v>127</v>
      </c>
      <c r="I21" s="38"/>
      <c r="J21" s="38"/>
      <c r="K21" s="38"/>
      <c r="L21" s="43"/>
      <c r="M21" s="40" t="s">
        <v>117</v>
      </c>
      <c r="N21" s="38"/>
      <c r="O21" s="38"/>
      <c r="P21" s="38"/>
      <c r="Q21" s="39" t="s">
        <v>138</v>
      </c>
      <c r="R21" s="38"/>
      <c r="S21" s="38"/>
    </row>
    <row r="22" spans="4:20" ht="18" customHeight="1" x14ac:dyDescent="0.25">
      <c r="D22" s="24" t="s">
        <v>116</v>
      </c>
      <c r="E22" s="24"/>
      <c r="F22" s="24"/>
      <c r="G22" s="24"/>
      <c r="H22" s="36" t="s">
        <v>128</v>
      </c>
      <c r="I22" s="24"/>
      <c r="J22" s="24"/>
      <c r="K22" s="24"/>
      <c r="L22" s="24"/>
      <c r="M22" s="29" t="s">
        <v>117</v>
      </c>
      <c r="N22" s="24"/>
      <c r="O22" s="24"/>
      <c r="P22" s="24"/>
      <c r="Q22" s="36" t="s">
        <v>139</v>
      </c>
      <c r="R22" s="24"/>
      <c r="S22" s="24"/>
    </row>
  </sheetData>
  <hyperlinks>
    <hyperlink ref="F9" location="Sites!A1" display="Sites"/>
    <hyperlink ref="H14" location="'SP-MOD-003-WA - Milestones'!A1" display="SP-MOD-003-WA"/>
    <hyperlink ref="Q14" location="SE03XC438!A1" display="SE03XC438"/>
    <hyperlink ref="C9" location="'Add Project'!A1" display="Add Project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BA34"/>
  <sheetViews>
    <sheetView showGridLines="0" zoomScaleNormal="100" workbookViewId="0">
      <selection activeCell="C9" sqref="C9"/>
    </sheetView>
  </sheetViews>
  <sheetFormatPr defaultColWidth="4.7109375" defaultRowHeight="18" customHeight="1" x14ac:dyDescent="0.25"/>
  <cols>
    <col min="1" max="8" width="4.7109375" style="11"/>
    <col min="9" max="9" width="11.28515625" style="11" bestFit="1" customWidth="1"/>
    <col min="10" max="44" width="4.7109375" style="11"/>
    <col min="45" max="53" width="20.7109375" style="11" customWidth="1"/>
    <col min="54" max="16384" width="4.7109375" style="11"/>
  </cols>
  <sheetData>
    <row r="1" spans="2:53" ht="18" customHeight="1" x14ac:dyDescent="0.25">
      <c r="AS1" s="11" t="s">
        <v>117</v>
      </c>
      <c r="AT1" s="11" t="s">
        <v>116</v>
      </c>
      <c r="AU1" s="11" t="s">
        <v>117</v>
      </c>
      <c r="AV1" s="11" t="s">
        <v>184</v>
      </c>
      <c r="AW1" s="11" t="s">
        <v>185</v>
      </c>
      <c r="AX1" s="11" t="s">
        <v>186</v>
      </c>
      <c r="AY1" s="11" t="s">
        <v>210</v>
      </c>
      <c r="AZ1" s="11" t="s">
        <v>188</v>
      </c>
      <c r="BA1" s="11" t="s">
        <v>129</v>
      </c>
    </row>
    <row r="2" spans="2:53" ht="18" customHeight="1" x14ac:dyDescent="0.25">
      <c r="AZ2" s="11" t="s">
        <v>189</v>
      </c>
      <c r="BA2" s="11" t="s">
        <v>130</v>
      </c>
    </row>
    <row r="3" spans="2:53" ht="18" customHeight="1" x14ac:dyDescent="0.25">
      <c r="AZ3" s="11" t="s">
        <v>190</v>
      </c>
      <c r="BA3" s="11" t="s">
        <v>131</v>
      </c>
    </row>
    <row r="4" spans="2:53" ht="18" customHeight="1" x14ac:dyDescent="0.25">
      <c r="BA4" s="11" t="s">
        <v>132</v>
      </c>
    </row>
    <row r="5" spans="2:53" ht="18" customHeight="1" x14ac:dyDescent="0.25">
      <c r="BA5" s="11" t="s">
        <v>194</v>
      </c>
    </row>
    <row r="6" spans="2:53" ht="18" customHeight="1" x14ac:dyDescent="0.25">
      <c r="BA6" s="11" t="s">
        <v>134</v>
      </c>
    </row>
    <row r="7" spans="2:53" ht="18" customHeight="1" x14ac:dyDescent="0.25">
      <c r="B7" s="31" t="s">
        <v>211</v>
      </c>
      <c r="C7" s="25"/>
      <c r="D7" s="25"/>
      <c r="E7" s="25"/>
      <c r="F7" s="25"/>
      <c r="BA7" s="11" t="s">
        <v>135</v>
      </c>
    </row>
    <row r="8" spans="2:53" ht="6" customHeight="1" x14ac:dyDescent="0.25">
      <c r="B8" s="25"/>
      <c r="C8" s="25"/>
      <c r="D8" s="25"/>
      <c r="E8" s="25"/>
      <c r="F8" s="25"/>
      <c r="BA8" s="11" t="s">
        <v>136</v>
      </c>
    </row>
    <row r="9" spans="2:53" s="25" customFormat="1" ht="18" customHeight="1" x14ac:dyDescent="0.25">
      <c r="C9" s="37" t="s">
        <v>145</v>
      </c>
      <c r="F9" s="37"/>
      <c r="BA9" s="25" t="s">
        <v>137</v>
      </c>
    </row>
    <row r="10" spans="2:53" ht="18" customHeight="1" x14ac:dyDescent="0.25">
      <c r="B10" s="44"/>
      <c r="C10" s="44"/>
      <c r="D10" s="44"/>
      <c r="E10" s="44"/>
      <c r="F10" s="44"/>
      <c r="G10" s="44"/>
      <c r="H10" s="44"/>
      <c r="BA10" s="11" t="s">
        <v>138</v>
      </c>
    </row>
    <row r="11" spans="2:53" ht="18" customHeight="1" x14ac:dyDescent="0.25">
      <c r="B11" s="44"/>
      <c r="C11" s="44"/>
      <c r="D11" s="45" t="s">
        <v>182</v>
      </c>
      <c r="E11" s="44"/>
      <c r="F11" s="44"/>
      <c r="G11" s="44"/>
      <c r="I11" s="53">
        <v>4524</v>
      </c>
      <c r="J11" s="54"/>
      <c r="K11" s="54"/>
      <c r="L11" s="54"/>
      <c r="M11" s="54"/>
      <c r="N11" s="54"/>
      <c r="O11" s="55"/>
      <c r="BA11" s="11" t="s">
        <v>139</v>
      </c>
    </row>
    <row r="12" spans="2:53" ht="6" customHeight="1" x14ac:dyDescent="0.25">
      <c r="B12" s="44"/>
      <c r="C12" s="44"/>
      <c r="D12" s="45"/>
      <c r="E12" s="44"/>
      <c r="F12" s="44"/>
      <c r="G12" s="44"/>
      <c r="I12" s="47"/>
      <c r="J12" s="23"/>
      <c r="K12" s="23"/>
      <c r="L12" s="23"/>
      <c r="M12" s="23"/>
      <c r="N12" s="23"/>
      <c r="O12" s="23"/>
    </row>
    <row r="13" spans="2:53" ht="18" customHeight="1" x14ac:dyDescent="0.25">
      <c r="B13" s="44"/>
      <c r="C13" s="44"/>
      <c r="D13" s="45" t="s">
        <v>110</v>
      </c>
      <c r="E13" s="44"/>
      <c r="F13" s="44"/>
      <c r="G13" s="44"/>
      <c r="I13" s="58" t="s">
        <v>121</v>
      </c>
      <c r="J13" s="59"/>
      <c r="K13" s="59"/>
      <c r="L13" s="59"/>
      <c r="M13" s="59"/>
      <c r="N13" s="59"/>
      <c r="O13" s="60"/>
    </row>
    <row r="14" spans="2:53" ht="6" customHeight="1" x14ac:dyDescent="0.25">
      <c r="B14" s="44"/>
      <c r="C14" s="44"/>
      <c r="D14" s="45"/>
      <c r="E14" s="44"/>
      <c r="F14" s="44"/>
      <c r="G14" s="44"/>
      <c r="I14" s="44"/>
    </row>
    <row r="15" spans="2:53" ht="18" customHeight="1" x14ac:dyDescent="0.25">
      <c r="B15" s="44"/>
      <c r="C15" s="44"/>
      <c r="D15" s="45" t="s">
        <v>187</v>
      </c>
      <c r="E15" s="44"/>
      <c r="F15" s="44"/>
      <c r="G15" s="44"/>
      <c r="I15" s="52"/>
      <c r="J15" s="23"/>
      <c r="K15" s="23"/>
      <c r="L15" s="23"/>
      <c r="M15" s="23"/>
      <c r="N15" s="23"/>
      <c r="O15" s="23"/>
    </row>
    <row r="16" spans="2:53" ht="6" customHeight="1" x14ac:dyDescent="0.25">
      <c r="B16" s="44"/>
      <c r="C16" s="44"/>
      <c r="D16" s="45"/>
      <c r="E16" s="44"/>
      <c r="F16" s="44"/>
      <c r="G16" s="44"/>
      <c r="I16" s="44"/>
    </row>
    <row r="17" spans="2:15" ht="18" customHeight="1" x14ac:dyDescent="0.25">
      <c r="B17" s="44"/>
      <c r="C17" s="44"/>
      <c r="D17" s="45" t="s">
        <v>172</v>
      </c>
      <c r="E17" s="44"/>
      <c r="F17" s="44"/>
      <c r="G17" s="44"/>
      <c r="I17" s="44"/>
    </row>
    <row r="18" spans="2:15" ht="6" customHeight="1" x14ac:dyDescent="0.25">
      <c r="B18" s="44"/>
      <c r="C18" s="44"/>
      <c r="D18" s="45"/>
      <c r="E18" s="44"/>
      <c r="F18" s="44"/>
      <c r="G18" s="44"/>
      <c r="I18" s="44"/>
    </row>
    <row r="19" spans="2:15" ht="18" customHeight="1" x14ac:dyDescent="0.25">
      <c r="B19" s="44"/>
      <c r="C19" s="44"/>
      <c r="D19" s="45" t="s">
        <v>112</v>
      </c>
      <c r="E19" s="44"/>
      <c r="F19" s="44"/>
      <c r="G19" s="44"/>
      <c r="I19" s="47"/>
      <c r="J19" s="23"/>
      <c r="K19" s="23"/>
      <c r="L19" s="23"/>
      <c r="M19" s="23"/>
      <c r="N19" s="23"/>
      <c r="O19" s="23"/>
    </row>
    <row r="20" spans="2:15" ht="6" customHeight="1" x14ac:dyDescent="0.25">
      <c r="B20" s="44"/>
      <c r="C20" s="44"/>
      <c r="D20" s="45"/>
      <c r="E20" s="44"/>
      <c r="F20" s="44"/>
      <c r="G20" s="47"/>
      <c r="I20" s="47"/>
      <c r="J20" s="23"/>
      <c r="K20" s="23"/>
      <c r="L20" s="23"/>
      <c r="M20" s="23"/>
      <c r="N20" s="23"/>
      <c r="O20" s="23"/>
    </row>
    <row r="21" spans="2:15" ht="18" customHeight="1" x14ac:dyDescent="0.25">
      <c r="D21" s="46" t="s">
        <v>111</v>
      </c>
      <c r="G21" s="23"/>
      <c r="I21" s="23"/>
      <c r="J21" s="23"/>
      <c r="K21" s="23"/>
      <c r="L21" s="23"/>
      <c r="M21" s="23"/>
      <c r="N21" s="23"/>
      <c r="O21" s="23"/>
    </row>
    <row r="22" spans="2:15" ht="6" customHeight="1" x14ac:dyDescent="0.25">
      <c r="D22" s="46"/>
      <c r="G22" s="23"/>
      <c r="I22" s="23"/>
      <c r="J22" s="23"/>
      <c r="K22" s="23"/>
      <c r="L22" s="23"/>
      <c r="M22" s="23"/>
      <c r="N22" s="23"/>
      <c r="O22" s="23"/>
    </row>
    <row r="23" spans="2:15" ht="18" customHeight="1" x14ac:dyDescent="0.25">
      <c r="D23" s="46" t="s">
        <v>206</v>
      </c>
      <c r="G23" s="23"/>
      <c r="I23" s="23"/>
      <c r="J23" s="23"/>
      <c r="K23" s="23"/>
      <c r="L23" s="23"/>
      <c r="M23" s="23"/>
      <c r="N23" s="23"/>
      <c r="O23" s="23"/>
    </row>
    <row r="24" spans="2:15" ht="6" customHeight="1" x14ac:dyDescent="0.25">
      <c r="D24" s="46"/>
    </row>
    <row r="25" spans="2:15" ht="18" customHeight="1" x14ac:dyDescent="0.25">
      <c r="D25" s="46" t="s">
        <v>207</v>
      </c>
      <c r="I25" s="56"/>
      <c r="J25" s="23"/>
      <c r="K25" s="23"/>
      <c r="L25" s="23"/>
      <c r="M25" s="23"/>
      <c r="N25" s="23"/>
      <c r="O25" s="23"/>
    </row>
    <row r="26" spans="2:15" ht="6" customHeight="1" x14ac:dyDescent="0.25">
      <c r="D26" s="46"/>
    </row>
    <row r="27" spans="2:15" ht="18" customHeight="1" x14ac:dyDescent="0.25">
      <c r="D27" s="46" t="s">
        <v>208</v>
      </c>
      <c r="I27" s="23"/>
      <c r="J27" s="23"/>
      <c r="K27" s="23"/>
      <c r="L27" s="23"/>
      <c r="M27" s="23"/>
      <c r="N27" s="23"/>
      <c r="O27" s="23"/>
    </row>
    <row r="28" spans="2:15" ht="6" customHeight="1" x14ac:dyDescent="0.25">
      <c r="D28" s="46"/>
    </row>
    <row r="29" spans="2:15" ht="18" customHeight="1" x14ac:dyDescent="0.25">
      <c r="D29" s="46" t="s">
        <v>209</v>
      </c>
      <c r="I29" s="57"/>
      <c r="J29" s="23"/>
      <c r="K29" s="23"/>
      <c r="L29" s="23"/>
      <c r="M29" s="23"/>
      <c r="N29" s="23"/>
      <c r="O29" s="23"/>
    </row>
    <row r="30" spans="2:15" ht="6" customHeight="1" x14ac:dyDescent="0.25">
      <c r="D30" s="46"/>
    </row>
    <row r="31" spans="2:15" ht="18" customHeight="1" x14ac:dyDescent="0.25">
      <c r="D31" s="46" t="s">
        <v>183</v>
      </c>
      <c r="I31" s="57"/>
      <c r="J31" s="23"/>
      <c r="K31" s="23"/>
      <c r="L31" s="23"/>
      <c r="M31" s="23"/>
      <c r="N31" s="23"/>
      <c r="O31" s="23"/>
    </row>
    <row r="33" spans="8:15" ht="18" customHeight="1" x14ac:dyDescent="0.25">
      <c r="H33" s="51"/>
      <c r="I33" s="51"/>
      <c r="L33" s="143" t="s">
        <v>175</v>
      </c>
      <c r="M33" s="143"/>
      <c r="N33" s="143"/>
      <c r="O33" s="143"/>
    </row>
    <row r="34" spans="8:15" ht="18" customHeight="1" x14ac:dyDescent="0.25">
      <c r="L34" s="143"/>
      <c r="M34" s="143"/>
      <c r="N34" s="143"/>
      <c r="O34" s="143"/>
    </row>
  </sheetData>
  <mergeCells count="1">
    <mergeCell ref="L33:O34"/>
  </mergeCells>
  <hyperlinks>
    <hyperlink ref="C9" location="Projects!A1" display="Projects"/>
    <hyperlink ref="L33:O34" location="Projects!A1" display="Submit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Drop Down 1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Drop Down 2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Drop Down 3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8" name="Drop Down 6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9" name="Drop Down 7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0" name="Drop Down 8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1" name="Drop Down 9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7:X16"/>
  <sheetViews>
    <sheetView showGridLines="0" workbookViewId="0">
      <selection activeCell="D12" sqref="D12"/>
    </sheetView>
  </sheetViews>
  <sheetFormatPr defaultColWidth="4.7109375" defaultRowHeight="18" customHeight="1" x14ac:dyDescent="0.25"/>
  <cols>
    <col min="1" max="16384" width="4.7109375" style="25"/>
  </cols>
  <sheetData>
    <row r="7" spans="2:24" ht="18" customHeight="1" x14ac:dyDescent="0.25">
      <c r="B7" s="31" t="s">
        <v>147</v>
      </c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</row>
    <row r="8" spans="2:24" ht="6" customHeight="1" x14ac:dyDescent="0.25"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</row>
    <row r="9" spans="2:24" ht="18" customHeight="1" x14ac:dyDescent="0.25">
      <c r="C9" s="37" t="s">
        <v>212</v>
      </c>
      <c r="F9" s="37" t="s">
        <v>145</v>
      </c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</row>
    <row r="10" spans="2:24" ht="18" customHeight="1" x14ac:dyDescent="0.25"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</row>
    <row r="11" spans="2:24" s="31" customFormat="1" ht="18" customHeight="1" thickBot="1" x14ac:dyDescent="0.3">
      <c r="D11" s="33" t="s">
        <v>113</v>
      </c>
      <c r="E11" s="32"/>
      <c r="F11" s="32"/>
      <c r="G11" s="32" t="s">
        <v>148</v>
      </c>
      <c r="H11" s="33"/>
      <c r="I11" s="32"/>
      <c r="J11" s="32"/>
      <c r="K11" s="33" t="s">
        <v>151</v>
      </c>
      <c r="L11" s="34"/>
      <c r="M11" s="33"/>
      <c r="N11" s="33"/>
      <c r="O11" s="33"/>
      <c r="P11" s="33" t="s">
        <v>153</v>
      </c>
      <c r="Q11" s="33"/>
      <c r="R11" s="33"/>
      <c r="S11" s="33" t="s">
        <v>154</v>
      </c>
      <c r="T11" s="33"/>
      <c r="U11" s="33"/>
      <c r="V11" s="35"/>
      <c r="W11" s="35"/>
      <c r="X11" s="35"/>
    </row>
    <row r="12" spans="2:24" ht="18" customHeight="1" x14ac:dyDescent="0.25">
      <c r="D12" s="36" t="s">
        <v>131</v>
      </c>
      <c r="G12" s="25" t="s">
        <v>163</v>
      </c>
      <c r="H12" s="36"/>
      <c r="I12" s="29"/>
      <c r="K12" s="29" t="s">
        <v>158</v>
      </c>
      <c r="L12" s="29"/>
      <c r="M12" s="29"/>
      <c r="N12" s="29"/>
      <c r="P12" s="25" t="s">
        <v>163</v>
      </c>
      <c r="Q12" s="29"/>
      <c r="R12" s="29"/>
      <c r="S12" s="29" t="s">
        <v>155</v>
      </c>
      <c r="T12" s="29"/>
      <c r="U12" s="29"/>
    </row>
    <row r="13" spans="2:24" ht="18" customHeight="1" x14ac:dyDescent="0.25">
      <c r="D13" s="39" t="s">
        <v>132</v>
      </c>
      <c r="E13" s="38"/>
      <c r="F13" s="38"/>
      <c r="G13" s="38" t="s">
        <v>159</v>
      </c>
      <c r="H13" s="39"/>
      <c r="I13" s="40"/>
      <c r="J13" s="38"/>
      <c r="K13" s="40" t="s">
        <v>158</v>
      </c>
      <c r="L13" s="42"/>
      <c r="M13" s="42"/>
      <c r="N13" s="40"/>
      <c r="O13" s="38"/>
      <c r="P13" s="40" t="s">
        <v>160</v>
      </c>
      <c r="Q13" s="40"/>
      <c r="R13" s="40"/>
      <c r="S13" s="40" t="s">
        <v>155</v>
      </c>
      <c r="T13" s="40"/>
      <c r="U13" s="40"/>
    </row>
    <row r="14" spans="2:24" ht="18" customHeight="1" x14ac:dyDescent="0.25">
      <c r="D14" s="36" t="s">
        <v>133</v>
      </c>
      <c r="G14" s="25" t="s">
        <v>161</v>
      </c>
      <c r="H14" s="36"/>
      <c r="I14" s="29"/>
      <c r="K14" s="29" t="s">
        <v>162</v>
      </c>
      <c r="L14" s="30"/>
      <c r="M14" s="30"/>
      <c r="N14" s="29"/>
      <c r="P14" s="29" t="s">
        <v>160</v>
      </c>
      <c r="Q14" s="29"/>
      <c r="R14" s="29"/>
      <c r="S14" s="29" t="s">
        <v>155</v>
      </c>
      <c r="T14" s="29"/>
      <c r="U14" s="29"/>
    </row>
    <row r="15" spans="2:24" ht="18" customHeight="1" x14ac:dyDescent="0.25">
      <c r="D15" s="39" t="s">
        <v>134</v>
      </c>
      <c r="E15" s="38"/>
      <c r="F15" s="38"/>
      <c r="G15" s="38" t="s">
        <v>164</v>
      </c>
      <c r="H15" s="39"/>
      <c r="I15" s="40"/>
      <c r="J15" s="38"/>
      <c r="K15" s="40" t="s">
        <v>165</v>
      </c>
      <c r="L15" s="40"/>
      <c r="M15" s="40"/>
      <c r="N15" s="40"/>
      <c r="O15" s="38"/>
      <c r="P15" s="38" t="s">
        <v>164</v>
      </c>
      <c r="Q15" s="40"/>
      <c r="R15" s="40"/>
      <c r="S15" s="40" t="s">
        <v>155</v>
      </c>
      <c r="T15" s="40"/>
      <c r="U15" s="40"/>
    </row>
    <row r="16" spans="2:24" ht="18" customHeight="1" x14ac:dyDescent="0.25">
      <c r="D16" s="36" t="s">
        <v>135</v>
      </c>
      <c r="G16" s="25" t="s">
        <v>157</v>
      </c>
      <c r="H16" s="36"/>
      <c r="I16" s="29"/>
      <c r="K16" s="29" t="s">
        <v>156</v>
      </c>
      <c r="L16" s="29"/>
      <c r="M16" s="29"/>
      <c r="N16" s="29"/>
      <c r="P16" s="29" t="s">
        <v>152</v>
      </c>
      <c r="Q16" s="29"/>
      <c r="R16" s="29"/>
      <c r="S16" s="29" t="s">
        <v>155</v>
      </c>
      <c r="T16" s="29"/>
      <c r="U16" s="29"/>
    </row>
  </sheetData>
  <hyperlinks>
    <hyperlink ref="F9" location="Projects!A1" display="Projects"/>
    <hyperlink ref="D12" location="SE03XC438!A1" display="SE03XC438"/>
    <hyperlink ref="C9" location="'Add Site'!A1" display="Add Site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AT35"/>
  <sheetViews>
    <sheetView showGridLines="0" zoomScaleNormal="100" workbookViewId="0">
      <selection activeCell="C9" sqref="C9"/>
    </sheetView>
  </sheetViews>
  <sheetFormatPr defaultColWidth="4.7109375" defaultRowHeight="18" customHeight="1" x14ac:dyDescent="0.25"/>
  <cols>
    <col min="1" max="8" width="4.7109375" style="11"/>
    <col min="9" max="9" width="11.28515625" style="11" bestFit="1" customWidth="1"/>
    <col min="10" max="44" width="4.7109375" style="11"/>
    <col min="45" max="46" width="20.7109375" style="11" customWidth="1"/>
    <col min="47" max="16384" width="4.7109375" style="11"/>
  </cols>
  <sheetData>
    <row r="1" spans="2:46" ht="18" customHeight="1" x14ac:dyDescent="0.25">
      <c r="AS1" s="11" t="s">
        <v>165</v>
      </c>
      <c r="AT1" s="11" t="s">
        <v>176</v>
      </c>
    </row>
    <row r="2" spans="2:46" ht="18" customHeight="1" x14ac:dyDescent="0.25">
      <c r="AS2" s="11" t="s">
        <v>162</v>
      </c>
      <c r="AT2" s="11" t="s">
        <v>177</v>
      </c>
    </row>
    <row r="3" spans="2:46" ht="18" customHeight="1" x14ac:dyDescent="0.25">
      <c r="AS3" s="11" t="s">
        <v>158</v>
      </c>
    </row>
    <row r="4" spans="2:46" ht="18" customHeight="1" x14ac:dyDescent="0.25">
      <c r="AS4" s="11" t="s">
        <v>156</v>
      </c>
    </row>
    <row r="7" spans="2:46" ht="18" customHeight="1" x14ac:dyDescent="0.25">
      <c r="B7" s="31" t="s">
        <v>213</v>
      </c>
      <c r="C7" s="25"/>
      <c r="D7" s="25"/>
      <c r="E7" s="25"/>
      <c r="F7" s="25"/>
    </row>
    <row r="8" spans="2:46" ht="6" customHeight="1" x14ac:dyDescent="0.25">
      <c r="B8" s="25"/>
      <c r="C8" s="25"/>
      <c r="D8" s="25"/>
      <c r="E8" s="25"/>
      <c r="F8" s="25"/>
    </row>
    <row r="9" spans="2:46" s="25" customFormat="1" ht="18" customHeight="1" x14ac:dyDescent="0.25">
      <c r="C9" s="37" t="s">
        <v>115</v>
      </c>
      <c r="F9" s="37"/>
    </row>
    <row r="10" spans="2:46" ht="18" customHeight="1" x14ac:dyDescent="0.25">
      <c r="B10" s="44"/>
      <c r="C10" s="44"/>
      <c r="D10" s="44"/>
      <c r="E10" s="44"/>
      <c r="F10" s="44"/>
      <c r="G10" s="44"/>
      <c r="H10" s="44"/>
    </row>
    <row r="11" spans="2:46" ht="18" customHeight="1" x14ac:dyDescent="0.25">
      <c r="B11" s="44"/>
      <c r="C11" s="44"/>
      <c r="D11" s="45" t="s">
        <v>171</v>
      </c>
      <c r="E11" s="44"/>
      <c r="F11" s="44"/>
      <c r="G11" s="44"/>
      <c r="I11" s="53">
        <v>3455</v>
      </c>
      <c r="J11" s="54"/>
      <c r="K11" s="54"/>
      <c r="L11" s="54"/>
      <c r="M11" s="54"/>
      <c r="N11" s="54"/>
      <c r="O11" s="55"/>
    </row>
    <row r="12" spans="2:46" ht="6" customHeight="1" x14ac:dyDescent="0.25">
      <c r="B12" s="44"/>
      <c r="C12" s="44"/>
      <c r="D12" s="45"/>
      <c r="E12" s="44"/>
      <c r="F12" s="44"/>
      <c r="G12" s="44"/>
      <c r="I12" s="47"/>
      <c r="J12" s="23"/>
      <c r="K12" s="23"/>
      <c r="L12" s="23"/>
      <c r="M12" s="23"/>
      <c r="N12" s="23"/>
      <c r="O12" s="23"/>
    </row>
    <row r="13" spans="2:46" ht="18" customHeight="1" x14ac:dyDescent="0.25">
      <c r="B13" s="44"/>
      <c r="C13" s="44"/>
      <c r="D13" s="45" t="s">
        <v>172</v>
      </c>
      <c r="E13" s="44"/>
      <c r="F13" s="44"/>
      <c r="G13" s="44"/>
      <c r="I13" s="65"/>
      <c r="J13" s="66"/>
      <c r="K13" s="66"/>
      <c r="L13" s="66"/>
      <c r="M13" s="66"/>
      <c r="N13" s="66"/>
      <c r="O13" s="67"/>
    </row>
    <row r="14" spans="2:46" ht="6" customHeight="1" x14ac:dyDescent="0.25">
      <c r="B14" s="44"/>
      <c r="C14" s="44"/>
      <c r="D14" s="45"/>
      <c r="E14" s="44"/>
      <c r="F14" s="44"/>
      <c r="G14" s="44"/>
      <c r="I14" s="44"/>
    </row>
    <row r="15" spans="2:46" ht="18" customHeight="1" x14ac:dyDescent="0.25">
      <c r="B15" s="44"/>
      <c r="C15" s="44"/>
      <c r="D15" s="45" t="s">
        <v>148</v>
      </c>
      <c r="E15" s="44"/>
      <c r="F15" s="44"/>
      <c r="G15" s="44"/>
      <c r="I15" s="48"/>
      <c r="J15" s="21"/>
      <c r="K15" s="21"/>
      <c r="L15" s="21"/>
      <c r="M15" s="21"/>
      <c r="N15" s="21"/>
      <c r="O15" s="22"/>
    </row>
    <row r="16" spans="2:46" ht="6" customHeight="1" x14ac:dyDescent="0.25">
      <c r="B16" s="44"/>
      <c r="C16" s="44"/>
      <c r="D16" s="45"/>
      <c r="E16" s="44"/>
      <c r="F16" s="44"/>
      <c r="G16" s="44"/>
      <c r="I16" s="44"/>
    </row>
    <row r="17" spans="2:15" ht="18" customHeight="1" x14ac:dyDescent="0.25">
      <c r="B17" s="44"/>
      <c r="C17" s="44"/>
      <c r="D17" s="45" t="s">
        <v>149</v>
      </c>
      <c r="E17" s="44"/>
      <c r="F17" s="44"/>
      <c r="G17" s="44"/>
      <c r="I17" s="47"/>
      <c r="J17" s="23"/>
      <c r="K17" s="23"/>
      <c r="L17" s="23"/>
      <c r="M17" s="23"/>
      <c r="N17" s="23"/>
      <c r="O17" s="23"/>
    </row>
    <row r="18" spans="2:15" ht="6" customHeight="1" x14ac:dyDescent="0.25">
      <c r="B18" s="44"/>
      <c r="C18" s="44"/>
      <c r="D18" s="45"/>
      <c r="E18" s="44"/>
      <c r="F18" s="44"/>
      <c r="G18" s="47"/>
      <c r="I18" s="47"/>
      <c r="J18" s="23"/>
      <c r="K18" s="23"/>
      <c r="L18" s="23"/>
      <c r="M18" s="23"/>
      <c r="N18" s="23"/>
      <c r="O18" s="23"/>
    </row>
    <row r="19" spans="2:15" ht="18" customHeight="1" x14ac:dyDescent="0.25">
      <c r="D19" s="46" t="s">
        <v>173</v>
      </c>
      <c r="G19" s="23"/>
      <c r="I19" s="23"/>
      <c r="J19" s="23"/>
      <c r="K19" s="23"/>
      <c r="L19" s="23"/>
      <c r="M19" s="23"/>
      <c r="N19" s="23"/>
      <c r="O19" s="23"/>
    </row>
    <row r="20" spans="2:15" ht="6" customHeight="1" x14ac:dyDescent="0.25">
      <c r="D20" s="46"/>
      <c r="G20" s="23"/>
      <c r="I20" s="23"/>
      <c r="J20" s="23"/>
      <c r="K20" s="23"/>
      <c r="L20" s="23"/>
      <c r="M20" s="23"/>
      <c r="N20" s="23"/>
      <c r="O20" s="23"/>
    </row>
    <row r="21" spans="2:15" ht="18" customHeight="1" x14ac:dyDescent="0.25">
      <c r="D21" s="46" t="s">
        <v>167</v>
      </c>
      <c r="G21" s="23"/>
      <c r="I21" s="49"/>
      <c r="J21" s="21"/>
      <c r="K21" s="21"/>
      <c r="L21" s="21"/>
      <c r="M21" s="21"/>
      <c r="N21" s="21"/>
      <c r="O21" s="22"/>
    </row>
    <row r="22" spans="2:15" ht="6" customHeight="1" x14ac:dyDescent="0.25">
      <c r="D22" s="46"/>
    </row>
    <row r="23" spans="2:15" ht="18" customHeight="1" x14ac:dyDescent="0.25">
      <c r="D23" s="46" t="s">
        <v>168</v>
      </c>
      <c r="I23" s="49"/>
      <c r="J23" s="21"/>
      <c r="K23" s="21"/>
      <c r="L23" s="21"/>
      <c r="M23" s="21"/>
      <c r="N23" s="21"/>
      <c r="O23" s="22"/>
    </row>
    <row r="24" spans="2:15" ht="6" customHeight="1" x14ac:dyDescent="0.25">
      <c r="D24" s="46"/>
    </row>
    <row r="25" spans="2:15" ht="18" customHeight="1" x14ac:dyDescent="0.25">
      <c r="D25" s="46" t="s">
        <v>150</v>
      </c>
      <c r="I25" s="20"/>
      <c r="J25" s="21"/>
      <c r="K25" s="21"/>
      <c r="L25" s="21"/>
      <c r="M25" s="21"/>
      <c r="N25" s="21"/>
      <c r="O25" s="22"/>
    </row>
    <row r="26" spans="2:15" ht="6" customHeight="1" x14ac:dyDescent="0.25">
      <c r="D26" s="46"/>
    </row>
    <row r="27" spans="2:15" ht="18" customHeight="1" x14ac:dyDescent="0.25">
      <c r="D27" s="46" t="s">
        <v>169</v>
      </c>
      <c r="I27" s="50"/>
      <c r="J27" s="21"/>
      <c r="K27" s="21"/>
      <c r="L27" s="21"/>
      <c r="M27" s="21"/>
      <c r="N27" s="21"/>
      <c r="O27" s="22"/>
    </row>
    <row r="28" spans="2:15" ht="6" customHeight="1" x14ac:dyDescent="0.25">
      <c r="D28" s="46"/>
    </row>
    <row r="29" spans="2:15" ht="18" customHeight="1" x14ac:dyDescent="0.25">
      <c r="D29" s="46" t="s">
        <v>170</v>
      </c>
      <c r="I29" s="50"/>
      <c r="J29" s="21"/>
      <c r="K29" s="21"/>
      <c r="L29" s="21"/>
      <c r="M29" s="21"/>
      <c r="N29" s="21"/>
      <c r="O29" s="22"/>
    </row>
    <row r="31" spans="2:15" ht="18" customHeight="1" x14ac:dyDescent="0.25">
      <c r="H31" s="51"/>
      <c r="I31" s="51"/>
      <c r="L31" s="143" t="s">
        <v>175</v>
      </c>
      <c r="M31" s="143"/>
      <c r="N31" s="143"/>
      <c r="O31" s="143"/>
    </row>
    <row r="32" spans="2:15" ht="18" customHeight="1" x14ac:dyDescent="0.25">
      <c r="L32" s="143"/>
      <c r="M32" s="143"/>
      <c r="N32" s="143"/>
      <c r="O32" s="143"/>
    </row>
    <row r="33" spans="25:25" ht="18" customHeight="1" x14ac:dyDescent="0.25">
      <c r="Y33" s="36"/>
    </row>
    <row r="34" spans="25:25" ht="18" customHeight="1" x14ac:dyDescent="0.25">
      <c r="Y34" s="36"/>
    </row>
    <row r="35" spans="25:25" ht="18" customHeight="1" x14ac:dyDescent="0.25">
      <c r="Y35" s="36"/>
    </row>
  </sheetData>
  <mergeCells count="1">
    <mergeCell ref="L31:O32"/>
  </mergeCells>
  <hyperlinks>
    <hyperlink ref="L31:O32" location="Sites!A1" display="Submit"/>
    <hyperlink ref="C9" location="Sites!A1" display="Sites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>
                <anchor moveWithCells="1">
                  <from>
                    <xdr:col>7</xdr:col>
                    <xdr:colOff>304800</xdr:colOff>
                    <xdr:row>16</xdr:row>
                    <xdr:rowOff>0</xdr:rowOff>
                  </from>
                  <to>
                    <xdr:col>14</xdr:col>
                    <xdr:colOff>304800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Drop Down 2">
              <controlPr defaultSize="0" autoLine="0" autoPict="0">
                <anchor moveWithCells="1">
                  <from>
                    <xdr:col>7</xdr:col>
                    <xdr:colOff>304800</xdr:colOff>
                    <xdr:row>18</xdr:row>
                    <xdr:rowOff>0</xdr:rowOff>
                  </from>
                  <to>
                    <xdr:col>14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AT35"/>
  <sheetViews>
    <sheetView showGridLines="0" zoomScaleNormal="100" workbookViewId="0">
      <selection activeCell="C9" sqref="C9"/>
    </sheetView>
  </sheetViews>
  <sheetFormatPr defaultColWidth="4.7109375" defaultRowHeight="18" customHeight="1" x14ac:dyDescent="0.25"/>
  <cols>
    <col min="1" max="8" width="4.7109375" style="11"/>
    <col min="9" max="9" width="11.28515625" style="11" bestFit="1" customWidth="1"/>
    <col min="10" max="44" width="4.7109375" style="11"/>
    <col min="45" max="46" width="20.7109375" style="11" customWidth="1"/>
    <col min="47" max="16384" width="4.7109375" style="11"/>
  </cols>
  <sheetData>
    <row r="1" spans="2:46" ht="18" customHeight="1" x14ac:dyDescent="0.25">
      <c r="AS1" s="11" t="s">
        <v>165</v>
      </c>
      <c r="AT1" s="11" t="s">
        <v>176</v>
      </c>
    </row>
    <row r="2" spans="2:46" ht="18" customHeight="1" x14ac:dyDescent="0.25">
      <c r="AS2" s="11" t="s">
        <v>162</v>
      </c>
      <c r="AT2" s="11" t="s">
        <v>177</v>
      </c>
    </row>
    <row r="3" spans="2:46" ht="18" customHeight="1" x14ac:dyDescent="0.25">
      <c r="AS3" s="11" t="s">
        <v>158</v>
      </c>
    </row>
    <row r="4" spans="2:46" ht="18" customHeight="1" x14ac:dyDescent="0.25">
      <c r="AS4" s="11" t="s">
        <v>156</v>
      </c>
    </row>
    <row r="7" spans="2:46" ht="18" customHeight="1" x14ac:dyDescent="0.25">
      <c r="B7" s="31" t="s">
        <v>166</v>
      </c>
      <c r="C7" s="25"/>
      <c r="D7" s="25"/>
      <c r="E7" s="25"/>
      <c r="F7" s="25"/>
    </row>
    <row r="8" spans="2:46" ht="6" customHeight="1" x14ac:dyDescent="0.25">
      <c r="B8" s="25"/>
      <c r="C8" s="25"/>
      <c r="D8" s="25"/>
      <c r="E8" s="25"/>
      <c r="F8" s="25"/>
    </row>
    <row r="9" spans="2:46" s="25" customFormat="1" ht="18" customHeight="1" x14ac:dyDescent="0.25">
      <c r="C9" s="37" t="s">
        <v>145</v>
      </c>
      <c r="F9" s="37" t="s">
        <v>115</v>
      </c>
    </row>
    <row r="10" spans="2:46" ht="18" customHeight="1" x14ac:dyDescent="0.25">
      <c r="B10" s="44"/>
      <c r="C10" s="44"/>
      <c r="D10" s="44"/>
      <c r="E10" s="44"/>
      <c r="F10" s="44"/>
      <c r="G10" s="44"/>
      <c r="H10" s="44"/>
    </row>
    <row r="11" spans="2:46" ht="18" customHeight="1" x14ac:dyDescent="0.25">
      <c r="B11" s="44"/>
      <c r="C11" s="44"/>
      <c r="D11" s="45" t="s">
        <v>171</v>
      </c>
      <c r="E11" s="44"/>
      <c r="F11" s="44"/>
      <c r="G11" s="44"/>
      <c r="I11" s="53">
        <v>3454</v>
      </c>
      <c r="J11" s="54"/>
      <c r="K11" s="54"/>
      <c r="L11" s="54"/>
      <c r="M11" s="54"/>
      <c r="N11" s="54"/>
      <c r="O11" s="55"/>
    </row>
    <row r="12" spans="2:46" ht="6" customHeight="1" x14ac:dyDescent="0.25">
      <c r="B12" s="44"/>
      <c r="C12" s="44"/>
      <c r="D12" s="45"/>
      <c r="E12" s="44"/>
      <c r="F12" s="44"/>
      <c r="G12" s="44"/>
      <c r="I12" s="47"/>
      <c r="J12" s="23"/>
      <c r="K12" s="23"/>
      <c r="L12" s="23"/>
      <c r="M12" s="23"/>
      <c r="N12" s="23"/>
      <c r="O12" s="23"/>
    </row>
    <row r="13" spans="2:46" ht="18" customHeight="1" x14ac:dyDescent="0.25">
      <c r="B13" s="44"/>
      <c r="C13" s="44"/>
      <c r="D13" s="45" t="s">
        <v>172</v>
      </c>
      <c r="E13" s="44"/>
      <c r="F13" s="44"/>
      <c r="G13" s="44"/>
      <c r="I13" s="65" t="s">
        <v>131</v>
      </c>
      <c r="J13" s="66"/>
      <c r="K13" s="66"/>
      <c r="L13" s="66"/>
      <c r="M13" s="66"/>
      <c r="N13" s="66"/>
      <c r="O13" s="67"/>
    </row>
    <row r="14" spans="2:46" ht="6" customHeight="1" x14ac:dyDescent="0.25">
      <c r="B14" s="44"/>
      <c r="C14" s="44"/>
      <c r="D14" s="45"/>
      <c r="E14" s="44"/>
      <c r="F14" s="44"/>
      <c r="G14" s="44"/>
      <c r="I14" s="44"/>
    </row>
    <row r="15" spans="2:46" ht="18" customHeight="1" x14ac:dyDescent="0.25">
      <c r="B15" s="44"/>
      <c r="C15" s="44"/>
      <c r="D15" s="45" t="s">
        <v>148</v>
      </c>
      <c r="E15" s="44"/>
      <c r="F15" s="44"/>
      <c r="G15" s="44"/>
      <c r="I15" s="48" t="s">
        <v>163</v>
      </c>
      <c r="J15" s="21"/>
      <c r="K15" s="21"/>
      <c r="L15" s="21"/>
      <c r="M15" s="21"/>
      <c r="N15" s="21"/>
      <c r="O15" s="22"/>
    </row>
    <row r="16" spans="2:46" ht="6" customHeight="1" x14ac:dyDescent="0.25">
      <c r="B16" s="44"/>
      <c r="C16" s="44"/>
      <c r="D16" s="45"/>
      <c r="E16" s="44"/>
      <c r="F16" s="44"/>
      <c r="G16" s="44"/>
      <c r="I16" s="44"/>
    </row>
    <row r="17" spans="2:15" ht="18" customHeight="1" x14ac:dyDescent="0.25">
      <c r="B17" s="44"/>
      <c r="C17" s="44"/>
      <c r="D17" s="45" t="s">
        <v>149</v>
      </c>
      <c r="E17" s="44"/>
      <c r="F17" s="44"/>
      <c r="G17" s="44"/>
      <c r="I17" s="47"/>
      <c r="J17" s="23"/>
      <c r="K17" s="23"/>
      <c r="L17" s="23"/>
      <c r="M17" s="23"/>
      <c r="N17" s="23"/>
      <c r="O17" s="23"/>
    </row>
    <row r="18" spans="2:15" ht="6" customHeight="1" x14ac:dyDescent="0.25">
      <c r="B18" s="44"/>
      <c r="C18" s="44"/>
      <c r="D18" s="45"/>
      <c r="E18" s="44"/>
      <c r="F18" s="44"/>
      <c r="G18" s="47"/>
      <c r="I18" s="47"/>
      <c r="J18" s="23"/>
      <c r="K18" s="23"/>
      <c r="L18" s="23"/>
      <c r="M18" s="23"/>
      <c r="N18" s="23"/>
      <c r="O18" s="23"/>
    </row>
    <row r="19" spans="2:15" ht="18" customHeight="1" x14ac:dyDescent="0.25">
      <c r="D19" s="46" t="s">
        <v>173</v>
      </c>
      <c r="G19" s="23"/>
      <c r="I19" s="23">
        <v>1</v>
      </c>
      <c r="J19" s="23"/>
      <c r="K19" s="23"/>
      <c r="L19" s="23"/>
      <c r="M19" s="23"/>
      <c r="N19" s="23"/>
      <c r="O19" s="23"/>
    </row>
    <row r="20" spans="2:15" ht="6" customHeight="1" x14ac:dyDescent="0.25">
      <c r="D20" s="46"/>
      <c r="G20" s="23"/>
      <c r="I20" s="23"/>
      <c r="J20" s="23"/>
      <c r="K20" s="23"/>
      <c r="L20" s="23"/>
      <c r="M20" s="23"/>
      <c r="N20" s="23"/>
      <c r="O20" s="23"/>
    </row>
    <row r="21" spans="2:15" ht="18" customHeight="1" x14ac:dyDescent="0.25">
      <c r="D21" s="46" t="s">
        <v>167</v>
      </c>
      <c r="G21" s="23"/>
      <c r="I21" s="49" t="s">
        <v>174</v>
      </c>
      <c r="J21" s="21"/>
      <c r="K21" s="21"/>
      <c r="L21" s="21"/>
      <c r="M21" s="21"/>
      <c r="N21" s="21"/>
      <c r="O21" s="22"/>
    </row>
    <row r="22" spans="2:15" ht="6" customHeight="1" x14ac:dyDescent="0.25">
      <c r="D22" s="46"/>
    </row>
    <row r="23" spans="2:15" ht="18" customHeight="1" x14ac:dyDescent="0.25">
      <c r="D23" s="46" t="s">
        <v>168</v>
      </c>
      <c r="I23" s="49">
        <v>98531</v>
      </c>
      <c r="J23" s="21"/>
      <c r="K23" s="21"/>
      <c r="L23" s="21"/>
      <c r="M23" s="21"/>
      <c r="N23" s="21"/>
      <c r="O23" s="22"/>
    </row>
    <row r="24" spans="2:15" ht="6" customHeight="1" x14ac:dyDescent="0.25">
      <c r="D24" s="46"/>
    </row>
    <row r="25" spans="2:15" ht="18" customHeight="1" x14ac:dyDescent="0.25">
      <c r="D25" s="46" t="s">
        <v>150</v>
      </c>
      <c r="I25" s="20" t="s">
        <v>163</v>
      </c>
      <c r="J25" s="21"/>
      <c r="K25" s="21"/>
      <c r="L25" s="21"/>
      <c r="M25" s="21"/>
      <c r="N25" s="21"/>
      <c r="O25" s="22"/>
    </row>
    <row r="26" spans="2:15" ht="6" customHeight="1" x14ac:dyDescent="0.25">
      <c r="D26" s="46"/>
    </row>
    <row r="27" spans="2:15" ht="18" customHeight="1" x14ac:dyDescent="0.25">
      <c r="D27" s="46" t="s">
        <v>169</v>
      </c>
      <c r="I27" s="50">
        <v>46.718501000000003</v>
      </c>
      <c r="J27" s="21"/>
      <c r="K27" s="21"/>
      <c r="L27" s="21"/>
      <c r="M27" s="21"/>
      <c r="N27" s="21"/>
      <c r="O27" s="22"/>
    </row>
    <row r="28" spans="2:15" ht="6" customHeight="1" x14ac:dyDescent="0.25">
      <c r="D28" s="46"/>
    </row>
    <row r="29" spans="2:15" ht="18" customHeight="1" x14ac:dyDescent="0.25">
      <c r="D29" s="46" t="s">
        <v>170</v>
      </c>
      <c r="I29" s="50">
        <v>-122.954498</v>
      </c>
      <c r="J29" s="21"/>
      <c r="K29" s="21"/>
      <c r="L29" s="21"/>
      <c r="M29" s="21"/>
      <c r="N29" s="21"/>
      <c r="O29" s="22"/>
    </row>
    <row r="31" spans="2:15" ht="18" customHeight="1" x14ac:dyDescent="0.25">
      <c r="H31" s="51"/>
      <c r="I31" s="51"/>
      <c r="L31" s="143" t="s">
        <v>175</v>
      </c>
      <c r="M31" s="143"/>
      <c r="N31" s="143"/>
      <c r="O31" s="143"/>
    </row>
    <row r="32" spans="2:15" ht="18" customHeight="1" x14ac:dyDescent="0.25">
      <c r="L32" s="143"/>
      <c r="M32" s="143"/>
      <c r="N32" s="143"/>
      <c r="O32" s="143"/>
    </row>
    <row r="33" spans="25:25" ht="18" customHeight="1" x14ac:dyDescent="0.25">
      <c r="Y33" s="36"/>
    </row>
    <row r="34" spans="25:25" ht="18" customHeight="1" x14ac:dyDescent="0.25">
      <c r="Y34" s="36"/>
    </row>
    <row r="35" spans="25:25" ht="18" customHeight="1" x14ac:dyDescent="0.25">
      <c r="Y35" s="36"/>
    </row>
  </sheetData>
  <sortState ref="AS1:AS4">
    <sortCondition ref="AS1"/>
  </sortState>
  <mergeCells count="1">
    <mergeCell ref="L31:O32"/>
  </mergeCells>
  <hyperlinks>
    <hyperlink ref="C9" location="Projects!A1" display="Projects"/>
    <hyperlink ref="F9" location="Sites!A1" display="Sites"/>
    <hyperlink ref="L31:O32" location="Sites!A1" display="Submit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Drop Down 2">
              <controlPr defaultSize="0" autoLine="0" autoPict="0">
                <anchor moveWithCells="1">
                  <from>
                    <xdr:col>7</xdr:col>
                    <xdr:colOff>304800</xdr:colOff>
                    <xdr:row>16</xdr:row>
                    <xdr:rowOff>0</xdr:rowOff>
                  </from>
                  <to>
                    <xdr:col>14</xdr:col>
                    <xdr:colOff>304800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Drop Down 3">
              <controlPr defaultSize="0" autoLine="0" autoPict="0">
                <anchor moveWithCells="1">
                  <from>
                    <xdr:col>7</xdr:col>
                    <xdr:colOff>304800</xdr:colOff>
                    <xdr:row>18</xdr:row>
                    <xdr:rowOff>0</xdr:rowOff>
                  </from>
                  <to>
                    <xdr:col>14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7:U48"/>
  <sheetViews>
    <sheetView showGridLines="0" workbookViewId="0">
      <selection activeCell="S17" sqref="S17"/>
    </sheetView>
  </sheetViews>
  <sheetFormatPr defaultColWidth="4.7109375" defaultRowHeight="18" customHeight="1" x14ac:dyDescent="0.25"/>
  <cols>
    <col min="1" max="3" width="4.7109375" style="11"/>
    <col min="4" max="4" width="4.85546875" style="11" bestFit="1" customWidth="1"/>
    <col min="5" max="14" width="4.7109375" style="11"/>
    <col min="15" max="15" width="11" style="11" bestFit="1" customWidth="1"/>
    <col min="16" max="16" width="4.7109375" style="11"/>
    <col min="17" max="17" width="11" style="11" bestFit="1" customWidth="1"/>
    <col min="18" max="18" width="4.7109375" style="11"/>
    <col min="19" max="19" width="4.85546875" style="13" bestFit="1" customWidth="1"/>
    <col min="20" max="16384" width="4.7109375" style="11"/>
  </cols>
  <sheetData>
    <row r="7" spans="2:20" ht="18" customHeight="1" x14ac:dyDescent="0.25">
      <c r="B7" s="31" t="s">
        <v>178</v>
      </c>
      <c r="C7" s="25"/>
      <c r="D7" s="25"/>
      <c r="E7" s="25"/>
      <c r="F7" s="25"/>
    </row>
    <row r="8" spans="2:20" ht="6" customHeight="1" x14ac:dyDescent="0.25">
      <c r="B8" s="25"/>
      <c r="C8" s="25"/>
      <c r="D8" s="25"/>
      <c r="E8" s="25"/>
      <c r="F8" s="25"/>
    </row>
    <row r="9" spans="2:20" s="25" customFormat="1" ht="18" customHeight="1" x14ac:dyDescent="0.25">
      <c r="C9" s="37" t="s">
        <v>145</v>
      </c>
      <c r="F9" s="37" t="s">
        <v>179</v>
      </c>
      <c r="I9" s="37" t="s">
        <v>146</v>
      </c>
      <c r="L9" s="37" t="s">
        <v>193</v>
      </c>
      <c r="S9" s="106"/>
    </row>
    <row r="11" spans="2:20" ht="18" customHeight="1" thickBot="1" x14ac:dyDescent="0.3">
      <c r="D11" s="105" t="s">
        <v>191</v>
      </c>
      <c r="E11" s="32" t="s">
        <v>192</v>
      </c>
      <c r="F11" s="32"/>
      <c r="G11" s="32"/>
      <c r="H11" s="32"/>
      <c r="I11" s="32"/>
      <c r="J11" s="32"/>
      <c r="K11" s="32"/>
      <c r="L11" s="32"/>
      <c r="M11" s="32"/>
      <c r="N11" s="32"/>
      <c r="O11" s="32" t="s">
        <v>75</v>
      </c>
      <c r="P11" s="32"/>
      <c r="Q11" s="32" t="s">
        <v>76</v>
      </c>
      <c r="R11" s="32"/>
      <c r="S11" s="105" t="s">
        <v>193</v>
      </c>
      <c r="T11" s="32"/>
    </row>
    <row r="12" spans="2:20" ht="18" customHeight="1" x14ac:dyDescent="0.25">
      <c r="D12" s="97">
        <f>'Milestone List and Forecasts'!A7</f>
        <v>100</v>
      </c>
      <c r="E12" s="25" t="str">
        <f>'Milestone List and Forecasts'!C7</f>
        <v>Bid Invitation Received</v>
      </c>
      <c r="F12" s="25"/>
      <c r="G12" s="25"/>
      <c r="H12" s="25"/>
      <c r="I12" s="25"/>
      <c r="J12" s="25"/>
      <c r="K12" s="25"/>
      <c r="L12" s="25"/>
      <c r="M12" s="25"/>
      <c r="N12" s="25"/>
      <c r="O12" s="62">
        <f>'Milestone List and Forecasts'!F7</f>
        <v>41771</v>
      </c>
      <c r="P12" s="62"/>
      <c r="Q12" s="62">
        <f>IF('Milestone List and Forecasts'!G7=0,"",'Milestone List and Forecasts'!G7)</f>
        <v>41771</v>
      </c>
      <c r="R12" s="62"/>
      <c r="S12" s="107" t="str">
        <f>IF('Milestone List and Forecasts'!J7="x",". . .","")</f>
        <v>. . .</v>
      </c>
      <c r="T12" s="25"/>
    </row>
    <row r="13" spans="2:20" ht="18" customHeight="1" x14ac:dyDescent="0.25">
      <c r="D13" s="96">
        <f>'Milestone List and Forecasts'!A8</f>
        <v>105</v>
      </c>
      <c r="E13" s="38" t="str">
        <f>'Milestone List and Forecasts'!C8</f>
        <v>Pre-Bid Conference Complete</v>
      </c>
      <c r="F13" s="38"/>
      <c r="G13" s="38"/>
      <c r="H13" s="38"/>
      <c r="I13" s="38"/>
      <c r="J13" s="38"/>
      <c r="K13" s="38"/>
      <c r="L13" s="38"/>
      <c r="M13" s="38"/>
      <c r="N13" s="38"/>
      <c r="O13" s="64">
        <f>'Milestone List and Forecasts'!F8</f>
        <v>41772</v>
      </c>
      <c r="P13" s="64"/>
      <c r="Q13" s="64" t="str">
        <f>IF('Milestone List and Forecasts'!G8=0,"",'Milestone List and Forecasts'!G8)</f>
        <v/>
      </c>
      <c r="R13" s="64"/>
      <c r="S13" s="108" t="str">
        <f>IF('Milestone List and Forecasts'!J8="x",". . .","")</f>
        <v>. . .</v>
      </c>
      <c r="T13" s="38"/>
    </row>
    <row r="14" spans="2:20" ht="18" customHeight="1" x14ac:dyDescent="0.25">
      <c r="D14" s="97">
        <f>'Milestone List and Forecasts'!A9</f>
        <v>110</v>
      </c>
      <c r="E14" s="25" t="str">
        <f>'Milestone List and Forecasts'!C9</f>
        <v>Bid Walk Complete</v>
      </c>
      <c r="F14" s="25"/>
      <c r="G14" s="25"/>
      <c r="H14" s="25"/>
      <c r="I14" s="25"/>
      <c r="J14" s="25"/>
      <c r="K14" s="25"/>
      <c r="L14" s="25"/>
      <c r="M14" s="25"/>
      <c r="N14" s="25"/>
      <c r="O14" s="62">
        <f>'Milestone List and Forecasts'!F9</f>
        <v>41773</v>
      </c>
      <c r="P14" s="62"/>
      <c r="Q14" s="62" t="str">
        <f>IF('Milestone List and Forecasts'!G9=0,"",'Milestone List and Forecasts'!G9)</f>
        <v/>
      </c>
      <c r="R14" s="62"/>
      <c r="S14" s="107" t="str">
        <f>IF('Milestone List and Forecasts'!J9="x",". . .","")</f>
        <v>. . .</v>
      </c>
      <c r="T14" s="25"/>
    </row>
    <row r="15" spans="2:20" ht="18" customHeight="1" x14ac:dyDescent="0.25">
      <c r="D15" s="96">
        <f>'Milestone List and Forecasts'!A10</f>
        <v>115</v>
      </c>
      <c r="E15" s="38" t="str">
        <f>'Milestone List and Forecasts'!C10</f>
        <v>Bid Complete</v>
      </c>
      <c r="F15" s="38"/>
      <c r="G15" s="38"/>
      <c r="H15" s="38"/>
      <c r="I15" s="38"/>
      <c r="J15" s="38"/>
      <c r="K15" s="38"/>
      <c r="L15" s="38"/>
      <c r="M15" s="38"/>
      <c r="N15" s="38"/>
      <c r="O15" s="64">
        <f>'Milestone List and Forecasts'!F10</f>
        <v>41773</v>
      </c>
      <c r="P15" s="64"/>
      <c r="Q15" s="64" t="str">
        <f>IF('Milestone List and Forecasts'!G10=0,"",'Milestone List and Forecasts'!G10)</f>
        <v/>
      </c>
      <c r="R15" s="64"/>
      <c r="S15" s="108" t="str">
        <f>IF('Milestone List and Forecasts'!J10="x",". . .","")</f>
        <v/>
      </c>
      <c r="T15" s="38"/>
    </row>
    <row r="16" spans="2:20" ht="18" customHeight="1" x14ac:dyDescent="0.25">
      <c r="D16" s="97">
        <f>'Milestone List and Forecasts'!A11</f>
        <v>120</v>
      </c>
      <c r="E16" s="25" t="str">
        <f>'Milestone List and Forecasts'!C11</f>
        <v>Bid Review Complete</v>
      </c>
      <c r="F16" s="25"/>
      <c r="G16" s="25"/>
      <c r="H16" s="25"/>
      <c r="I16" s="25"/>
      <c r="J16" s="25"/>
      <c r="K16" s="25"/>
      <c r="L16" s="25"/>
      <c r="M16" s="25"/>
      <c r="N16" s="25"/>
      <c r="O16" s="62">
        <f>'Milestone List and Forecasts'!F11</f>
        <v>41774</v>
      </c>
      <c r="P16" s="62"/>
      <c r="Q16" s="62" t="str">
        <f>IF('Milestone List and Forecasts'!G11=0,"",'Milestone List and Forecasts'!G11)</f>
        <v/>
      </c>
      <c r="R16" s="62"/>
      <c r="S16" s="107" t="str">
        <f>IF('Milestone List and Forecasts'!J11="x",". . .","")</f>
        <v>. . .</v>
      </c>
      <c r="T16" s="25"/>
    </row>
    <row r="17" spans="4:20" ht="18" customHeight="1" x14ac:dyDescent="0.25">
      <c r="D17" s="96">
        <f>'Milestone List and Forecasts'!A12</f>
        <v>125</v>
      </c>
      <c r="E17" s="38" t="str">
        <f>'Milestone List and Forecasts'!C12</f>
        <v>SAP Submitted</v>
      </c>
      <c r="F17" s="38"/>
      <c r="G17" s="38"/>
      <c r="H17" s="38"/>
      <c r="I17" s="38"/>
      <c r="J17" s="38"/>
      <c r="K17" s="38"/>
      <c r="L17" s="38"/>
      <c r="M17" s="38"/>
      <c r="N17" s="38"/>
      <c r="O17" s="64">
        <f>'Milestone List and Forecasts'!F12</f>
        <v>41774</v>
      </c>
      <c r="P17" s="64"/>
      <c r="Q17" s="64" t="str">
        <f>IF('Milestone List and Forecasts'!G12=0,"",'Milestone List and Forecasts'!G12)</f>
        <v/>
      </c>
      <c r="R17" s="64"/>
      <c r="S17" s="109">
        <v>3</v>
      </c>
      <c r="T17" s="38"/>
    </row>
    <row r="18" spans="4:20" ht="18" customHeight="1" x14ac:dyDescent="0.25">
      <c r="D18" s="97">
        <f>'Milestone List and Forecasts'!A13</f>
        <v>130</v>
      </c>
      <c r="E18" s="25" t="str">
        <f>'Milestone List and Forecasts'!C13</f>
        <v>SAP Approved</v>
      </c>
      <c r="F18" s="25"/>
      <c r="G18" s="25"/>
      <c r="H18" s="25"/>
      <c r="I18" s="25"/>
      <c r="J18" s="25"/>
      <c r="K18" s="25"/>
      <c r="L18" s="25"/>
      <c r="M18" s="25"/>
      <c r="N18" s="25"/>
      <c r="O18" s="62">
        <f>'Milestone List and Forecasts'!F13</f>
        <v>41779</v>
      </c>
      <c r="P18" s="62"/>
      <c r="Q18" s="62" t="str">
        <f>IF('Milestone List and Forecasts'!G13=0,"",'Milestone List and Forecasts'!G13)</f>
        <v/>
      </c>
      <c r="R18" s="62"/>
      <c r="S18" s="107" t="str">
        <f>IF('Milestone List and Forecasts'!J13="x",". . .","")</f>
        <v>. . .</v>
      </c>
      <c r="T18" s="25"/>
    </row>
    <row r="19" spans="4:20" ht="18" customHeight="1" x14ac:dyDescent="0.25">
      <c r="D19" s="96">
        <f>'Milestone List and Forecasts'!A14</f>
        <v>135</v>
      </c>
      <c r="E19" s="38" t="str">
        <f>'Milestone List and Forecasts'!C14</f>
        <v>Initial Bid POR Submitted</v>
      </c>
      <c r="F19" s="38"/>
      <c r="G19" s="38"/>
      <c r="H19" s="38"/>
      <c r="I19" s="38"/>
      <c r="J19" s="38"/>
      <c r="K19" s="38"/>
      <c r="L19" s="38"/>
      <c r="M19" s="38"/>
      <c r="N19" s="38"/>
      <c r="O19" s="64">
        <f>'Milestone List and Forecasts'!F14</f>
        <v>41782</v>
      </c>
      <c r="P19" s="64"/>
      <c r="Q19" s="64" t="str">
        <f>IF('Milestone List and Forecasts'!G14=0,"",'Milestone List and Forecasts'!G14)</f>
        <v/>
      </c>
      <c r="R19" s="64"/>
      <c r="S19" s="108" t="str">
        <f>IF('Milestone List and Forecasts'!J14="x",". . .","")</f>
        <v/>
      </c>
      <c r="T19" s="38"/>
    </row>
    <row r="20" spans="4:20" ht="18" customHeight="1" x14ac:dyDescent="0.25">
      <c r="D20" s="97">
        <f>'Milestone List and Forecasts'!A15</f>
        <v>140</v>
      </c>
      <c r="E20" s="25" t="str">
        <f>'Milestone List and Forecasts'!C15</f>
        <v>Initial Bid PO Received</v>
      </c>
      <c r="F20" s="25"/>
      <c r="G20" s="25"/>
      <c r="H20" s="25"/>
      <c r="I20" s="25"/>
      <c r="J20" s="25"/>
      <c r="K20" s="25"/>
      <c r="L20" s="25"/>
      <c r="M20" s="25"/>
      <c r="N20" s="25"/>
      <c r="O20" s="62">
        <f>'Milestone List and Forecasts'!F15</f>
        <v>41787</v>
      </c>
      <c r="P20" s="62"/>
      <c r="Q20" s="62" t="str">
        <f>IF('Milestone List and Forecasts'!G15=0,"",'Milestone List and Forecasts'!G15)</f>
        <v/>
      </c>
      <c r="R20" s="62"/>
      <c r="S20" s="107" t="str">
        <f>IF('Milestone List and Forecasts'!J15="x",". . .","")</f>
        <v>. . .</v>
      </c>
      <c r="T20" s="25"/>
    </row>
    <row r="21" spans="4:20" ht="18" customHeight="1" x14ac:dyDescent="0.25">
      <c r="D21" s="96">
        <f>'Milestone List and Forecasts'!A16</f>
        <v>145</v>
      </c>
      <c r="E21" s="38" t="str">
        <f>'Milestone List and Forecasts'!C16</f>
        <v>NTP Received</v>
      </c>
      <c r="F21" s="38"/>
      <c r="G21" s="38"/>
      <c r="H21" s="38"/>
      <c r="I21" s="38"/>
      <c r="J21" s="38"/>
      <c r="K21" s="38"/>
      <c r="L21" s="38"/>
      <c r="M21" s="38"/>
      <c r="N21" s="38"/>
      <c r="O21" s="64">
        <f>'Milestone List and Forecasts'!F16</f>
        <v>41788</v>
      </c>
      <c r="P21" s="64"/>
      <c r="Q21" s="64" t="str">
        <f>IF('Milestone List and Forecasts'!G16=0,"",'Milestone List and Forecasts'!G16)</f>
        <v/>
      </c>
      <c r="R21" s="64"/>
      <c r="S21" s="108" t="str">
        <f>IF('Milestone List and Forecasts'!J16="x",". . .","")</f>
        <v>. . .</v>
      </c>
      <c r="T21" s="38"/>
    </row>
    <row r="22" spans="4:20" ht="18" customHeight="1" x14ac:dyDescent="0.25">
      <c r="D22" s="97">
        <f>'Milestone List and Forecasts'!A17</f>
        <v>150</v>
      </c>
      <c r="E22" s="25" t="str">
        <f>'Milestone List and Forecasts'!C17</f>
        <v>Pre-Construction Visit Complete</v>
      </c>
      <c r="F22" s="25"/>
      <c r="G22" s="25"/>
      <c r="H22" s="25"/>
      <c r="I22" s="25"/>
      <c r="J22" s="25"/>
      <c r="K22" s="25"/>
      <c r="L22" s="25"/>
      <c r="M22" s="25"/>
      <c r="N22" s="25"/>
      <c r="O22" s="62">
        <f>'Milestone List and Forecasts'!F17</f>
        <v>41789</v>
      </c>
      <c r="P22" s="62"/>
      <c r="Q22" s="62" t="str">
        <f>IF('Milestone List and Forecasts'!G17=0,"",'Milestone List and Forecasts'!G17)</f>
        <v/>
      </c>
      <c r="R22" s="62"/>
      <c r="S22" s="107" t="str">
        <f>IF('Milestone List and Forecasts'!J17="x",". . .","")</f>
        <v/>
      </c>
      <c r="T22" s="25"/>
    </row>
    <row r="23" spans="4:20" ht="18" customHeight="1" x14ac:dyDescent="0.25">
      <c r="D23" s="96">
        <f>'Milestone List and Forecasts'!A18</f>
        <v>155</v>
      </c>
      <c r="E23" s="38" t="str">
        <f>'Milestone List and Forecasts'!C18</f>
        <v>Cell Site Verification Complete</v>
      </c>
      <c r="F23" s="38"/>
      <c r="G23" s="38"/>
      <c r="H23" s="38"/>
      <c r="I23" s="38"/>
      <c r="J23" s="38"/>
      <c r="K23" s="38"/>
      <c r="L23" s="38"/>
      <c r="M23" s="38"/>
      <c r="N23" s="38"/>
      <c r="O23" s="64">
        <f>'Milestone List and Forecasts'!F18</f>
        <v>41789</v>
      </c>
      <c r="P23" s="64"/>
      <c r="Q23" s="64" t="str">
        <f>IF('Milestone List and Forecasts'!G18=0,"",'Milestone List and Forecasts'!G18)</f>
        <v/>
      </c>
      <c r="R23" s="64"/>
      <c r="S23" s="108" t="str">
        <f>IF('Milestone List and Forecasts'!J18="x",". . .","")</f>
        <v/>
      </c>
      <c r="T23" s="38"/>
    </row>
    <row r="24" spans="4:20" ht="18" customHeight="1" x14ac:dyDescent="0.25">
      <c r="D24" s="97">
        <f>'Milestone List and Forecasts'!A19</f>
        <v>160</v>
      </c>
      <c r="E24" s="25" t="str">
        <f>'Milestone List and Forecasts'!C19</f>
        <v>Material Order Submitted</v>
      </c>
      <c r="F24" s="25"/>
      <c r="G24" s="25"/>
      <c r="H24" s="25"/>
      <c r="I24" s="25"/>
      <c r="J24" s="25"/>
      <c r="K24" s="25"/>
      <c r="L24" s="25"/>
      <c r="M24" s="25"/>
      <c r="N24" s="25"/>
      <c r="O24" s="62">
        <f>'Milestone List and Forecasts'!F19</f>
        <v>41792</v>
      </c>
      <c r="P24" s="62"/>
      <c r="Q24" s="62" t="str">
        <f>IF('Milestone List and Forecasts'!G19=0,"",'Milestone List and Forecasts'!G19)</f>
        <v/>
      </c>
      <c r="R24" s="62"/>
      <c r="S24" s="107" t="str">
        <f>IF('Milestone List and Forecasts'!J19="x",". . .","")</f>
        <v>. . .</v>
      </c>
      <c r="T24" s="25"/>
    </row>
    <row r="25" spans="4:20" ht="18" customHeight="1" x14ac:dyDescent="0.25">
      <c r="D25" s="96">
        <f>'Milestone List and Forecasts'!A20</f>
        <v>165</v>
      </c>
      <c r="E25" s="38" t="str">
        <f>'Milestone List and Forecasts'!C20</f>
        <v>Material Received</v>
      </c>
      <c r="F25" s="38"/>
      <c r="G25" s="38"/>
      <c r="H25" s="38"/>
      <c r="I25" s="38"/>
      <c r="J25" s="38"/>
      <c r="K25" s="38"/>
      <c r="L25" s="38"/>
      <c r="M25" s="38"/>
      <c r="N25" s="38"/>
      <c r="O25" s="64">
        <f>'Milestone List and Forecasts'!F20</f>
        <v>41793</v>
      </c>
      <c r="P25" s="64"/>
      <c r="Q25" s="64" t="str">
        <f>IF('Milestone List and Forecasts'!G20=0,"",'Milestone List and Forecasts'!G20)</f>
        <v/>
      </c>
      <c r="R25" s="64"/>
      <c r="S25" s="108" t="str">
        <f>IF('Milestone List and Forecasts'!J20="x",". . .","")</f>
        <v>. . .</v>
      </c>
      <c r="T25" s="38"/>
    </row>
    <row r="26" spans="4:20" ht="18" customHeight="1" x14ac:dyDescent="0.25">
      <c r="D26" s="97">
        <f>'Milestone List and Forecasts'!A21</f>
        <v>170</v>
      </c>
      <c r="E26" s="25" t="str">
        <f>'Milestone List and Forecasts'!C21</f>
        <v>Equipment Pickup Complete</v>
      </c>
      <c r="F26" s="25"/>
      <c r="G26" s="25"/>
      <c r="H26" s="25"/>
      <c r="I26" s="25"/>
      <c r="J26" s="25"/>
      <c r="K26" s="25"/>
      <c r="L26" s="25"/>
      <c r="M26" s="25"/>
      <c r="N26" s="25"/>
      <c r="O26" s="62">
        <f>'Milestone List and Forecasts'!F21</f>
        <v>41792</v>
      </c>
      <c r="P26" s="62"/>
      <c r="Q26" s="62" t="str">
        <f>IF('Milestone List and Forecasts'!G21=0,"",'Milestone List and Forecasts'!G21)</f>
        <v/>
      </c>
      <c r="R26" s="62"/>
      <c r="S26" s="107" t="str">
        <f>IF('Milestone List and Forecasts'!J21="x",". . .","")</f>
        <v/>
      </c>
      <c r="T26" s="25"/>
    </row>
    <row r="27" spans="4:20" ht="18" customHeight="1" x14ac:dyDescent="0.25">
      <c r="D27" s="96">
        <f>'Milestone List and Forecasts'!A22</f>
        <v>175</v>
      </c>
      <c r="E27" s="38" t="str">
        <f>'Milestone List and Forecasts'!C22</f>
        <v>Equipment Inventory Complete</v>
      </c>
      <c r="F27" s="38"/>
      <c r="G27" s="38"/>
      <c r="H27" s="38"/>
      <c r="I27" s="38"/>
      <c r="J27" s="38"/>
      <c r="K27" s="38"/>
      <c r="L27" s="38"/>
      <c r="M27" s="38"/>
      <c r="N27" s="38"/>
      <c r="O27" s="64">
        <f>'Milestone List and Forecasts'!F22</f>
        <v>41793</v>
      </c>
      <c r="P27" s="64"/>
      <c r="Q27" s="64" t="str">
        <f>IF('Milestone List and Forecasts'!G22=0,"",'Milestone List and Forecasts'!G22)</f>
        <v/>
      </c>
      <c r="R27" s="64"/>
      <c r="S27" s="108" t="str">
        <f>IF('Milestone List and Forecasts'!J22="x",". . .","")</f>
        <v>. . .</v>
      </c>
      <c r="T27" s="38"/>
    </row>
    <row r="28" spans="4:20" ht="18" customHeight="1" x14ac:dyDescent="0.25">
      <c r="D28" s="97">
        <f>'Milestone List and Forecasts'!A23</f>
        <v>200</v>
      </c>
      <c r="E28" s="25" t="str">
        <f>'Milestone List and Forecasts'!C23</f>
        <v>Construction Start</v>
      </c>
      <c r="F28" s="25"/>
      <c r="G28" s="25"/>
      <c r="H28" s="25"/>
      <c r="I28" s="25"/>
      <c r="J28" s="25"/>
      <c r="K28" s="25"/>
      <c r="L28" s="25"/>
      <c r="M28" s="25"/>
      <c r="N28" s="25"/>
      <c r="O28" s="62">
        <f>'Milestone List and Forecasts'!F23</f>
        <v>41794</v>
      </c>
      <c r="P28" s="62"/>
      <c r="Q28" s="62" t="str">
        <f>IF('Milestone List and Forecasts'!G23=0,"",'Milestone List and Forecasts'!G23)</f>
        <v/>
      </c>
      <c r="R28" s="62"/>
      <c r="S28" s="107" t="str">
        <f>IF('Milestone List and Forecasts'!J23="x",". . .","")</f>
        <v/>
      </c>
      <c r="T28" s="25"/>
    </row>
    <row r="29" spans="4:20" ht="18" customHeight="1" x14ac:dyDescent="0.25">
      <c r="D29" s="96">
        <f>'Milestone List and Forecasts'!A24</f>
        <v>205</v>
      </c>
      <c r="E29" s="38" t="str">
        <f>'Milestone List and Forecasts'!C24</f>
        <v>Change Request Submitted</v>
      </c>
      <c r="F29" s="38"/>
      <c r="G29" s="38"/>
      <c r="H29" s="38"/>
      <c r="I29" s="38"/>
      <c r="J29" s="38"/>
      <c r="K29" s="38"/>
      <c r="L29" s="38"/>
      <c r="M29" s="38"/>
      <c r="N29" s="38"/>
      <c r="O29" s="64">
        <f>'Milestone List and Forecasts'!F24</f>
        <v>41795</v>
      </c>
      <c r="P29" s="64"/>
      <c r="Q29" s="64" t="str">
        <f>IF('Milestone List and Forecasts'!G24=0,"",'Milestone List and Forecasts'!G24)</f>
        <v/>
      </c>
      <c r="R29" s="64"/>
      <c r="S29" s="108" t="str">
        <f>IF('Milestone List and Forecasts'!J24="x",". . .","")</f>
        <v>. . .</v>
      </c>
      <c r="T29" s="38"/>
    </row>
    <row r="30" spans="4:20" ht="18" customHeight="1" x14ac:dyDescent="0.25">
      <c r="D30" s="97">
        <f>'Milestone List and Forecasts'!A25</f>
        <v>210</v>
      </c>
      <c r="E30" s="25" t="str">
        <f>'Milestone List and Forecasts'!C25</f>
        <v>Change Request Approved</v>
      </c>
      <c r="F30" s="25"/>
      <c r="G30" s="25"/>
      <c r="H30" s="25"/>
      <c r="I30" s="25"/>
      <c r="J30" s="25"/>
      <c r="K30" s="25"/>
      <c r="L30" s="25"/>
      <c r="M30" s="25"/>
      <c r="N30" s="25"/>
      <c r="O30" s="62">
        <f>'Milestone List and Forecasts'!F25</f>
        <v>41800</v>
      </c>
      <c r="P30" s="62"/>
      <c r="Q30" s="62" t="str">
        <f>IF('Milestone List and Forecasts'!G25=0,"",'Milestone List and Forecasts'!G25)</f>
        <v/>
      </c>
      <c r="R30" s="62"/>
      <c r="S30" s="107" t="str">
        <f>IF('Milestone List and Forecasts'!J25="x",". . .","")</f>
        <v>. . .</v>
      </c>
      <c r="T30" s="25"/>
    </row>
    <row r="31" spans="4:20" ht="18" customHeight="1" x14ac:dyDescent="0.25">
      <c r="D31" s="96">
        <f>'Milestone List and Forecasts'!A26</f>
        <v>215</v>
      </c>
      <c r="E31" s="38" t="str">
        <f>'Milestone List and Forecasts'!C26</f>
        <v>Change Request PO Received</v>
      </c>
      <c r="F31" s="38"/>
      <c r="G31" s="38"/>
      <c r="H31" s="38"/>
      <c r="I31" s="38"/>
      <c r="J31" s="38"/>
      <c r="K31" s="38"/>
      <c r="L31" s="38"/>
      <c r="M31" s="38"/>
      <c r="N31" s="38"/>
      <c r="O31" s="64">
        <f>'Milestone List and Forecasts'!F26</f>
        <v>41803</v>
      </c>
      <c r="P31" s="64"/>
      <c r="Q31" s="64" t="str">
        <f>IF('Milestone List and Forecasts'!G26=0,"",'Milestone List and Forecasts'!G26)</f>
        <v/>
      </c>
      <c r="R31" s="64"/>
      <c r="S31" s="108" t="str">
        <f>IF('Milestone List and Forecasts'!J26="x",". . .","")</f>
        <v>. . .</v>
      </c>
      <c r="T31" s="38"/>
    </row>
    <row r="32" spans="4:20" ht="18" customHeight="1" x14ac:dyDescent="0.25">
      <c r="D32" s="97">
        <f>'Milestone List and Forecasts'!A27</f>
        <v>220</v>
      </c>
      <c r="E32" s="25" t="str">
        <f>'Milestone List and Forecasts'!C27</f>
        <v>Ground Level Construction Complete</v>
      </c>
      <c r="F32" s="25"/>
      <c r="G32" s="25"/>
      <c r="H32" s="25"/>
      <c r="I32" s="25"/>
      <c r="J32" s="25"/>
      <c r="K32" s="25"/>
      <c r="L32" s="25"/>
      <c r="M32" s="25"/>
      <c r="N32" s="25"/>
      <c r="O32" s="62">
        <f>'Milestone List and Forecasts'!F27</f>
        <v>41799</v>
      </c>
      <c r="P32" s="62"/>
      <c r="Q32" s="62" t="str">
        <f>IF('Milestone List and Forecasts'!G27=0,"",'Milestone List and Forecasts'!G27)</f>
        <v/>
      </c>
      <c r="R32" s="62"/>
      <c r="S32" s="107" t="str">
        <f>IF('Milestone List and Forecasts'!J27="x",". . .","")</f>
        <v/>
      </c>
      <c r="T32" s="25"/>
    </row>
    <row r="33" spans="4:21" ht="18" customHeight="1" x14ac:dyDescent="0.25">
      <c r="D33" s="96">
        <f>'Milestone List and Forecasts'!A28</f>
        <v>225</v>
      </c>
      <c r="E33" s="38" t="str">
        <f>'Milestone List and Forecasts'!C28</f>
        <v>Tower Level Construction Complete</v>
      </c>
      <c r="F33" s="38"/>
      <c r="G33" s="38"/>
      <c r="H33" s="38"/>
      <c r="I33" s="38"/>
      <c r="J33" s="38"/>
      <c r="K33" s="38"/>
      <c r="L33" s="38"/>
      <c r="M33" s="38"/>
      <c r="N33" s="38"/>
      <c r="O33" s="64">
        <f>'Milestone List and Forecasts'!F28</f>
        <v>41799</v>
      </c>
      <c r="P33" s="64"/>
      <c r="Q33" s="64" t="str">
        <f>IF('Milestone List and Forecasts'!G28=0,"",'Milestone List and Forecasts'!G28)</f>
        <v/>
      </c>
      <c r="R33" s="64"/>
      <c r="S33" s="108" t="str">
        <f>IF('Milestone List and Forecasts'!J28="x",". . .","")</f>
        <v/>
      </c>
      <c r="T33" s="38"/>
    </row>
    <row r="34" spans="4:21" ht="18" customHeight="1" x14ac:dyDescent="0.25">
      <c r="D34" s="97">
        <f>'Milestone List and Forecasts'!A29</f>
        <v>245</v>
      </c>
      <c r="E34" s="25" t="str">
        <f>'Milestone List and Forecasts'!C29</f>
        <v>Commissioning &amp; Integration Schedule Complete</v>
      </c>
      <c r="F34" s="25"/>
      <c r="G34" s="25"/>
      <c r="H34" s="25"/>
      <c r="I34" s="25"/>
      <c r="J34" s="25"/>
      <c r="K34" s="25"/>
      <c r="L34" s="25"/>
      <c r="M34" s="25"/>
      <c r="N34" s="25"/>
      <c r="O34" s="62">
        <f>'Milestone List and Forecasts'!F29</f>
        <v>41799</v>
      </c>
      <c r="P34" s="62"/>
      <c r="Q34" s="62" t="str">
        <f>IF('Milestone List and Forecasts'!G29=0,"",'Milestone List and Forecasts'!G29)</f>
        <v/>
      </c>
      <c r="R34" s="62"/>
      <c r="S34" s="107" t="str">
        <f>IF('Milestone List and Forecasts'!J29="x",". . .","")</f>
        <v/>
      </c>
      <c r="T34" s="25"/>
    </row>
    <row r="35" spans="4:21" ht="18" customHeight="1" x14ac:dyDescent="0.25">
      <c r="D35" s="96">
        <f>'Milestone List and Forecasts'!A30</f>
        <v>250</v>
      </c>
      <c r="E35" s="38" t="str">
        <f>'Milestone List and Forecasts'!C30</f>
        <v>Commissioning &amp; Integration Complete</v>
      </c>
      <c r="F35" s="38"/>
      <c r="G35" s="38"/>
      <c r="H35" s="38"/>
      <c r="I35" s="38"/>
      <c r="J35" s="38"/>
      <c r="K35" s="38"/>
      <c r="L35" s="38"/>
      <c r="M35" s="38"/>
      <c r="N35" s="38"/>
      <c r="O35" s="64">
        <f>'Milestone List and Forecasts'!F30</f>
        <v>41802</v>
      </c>
      <c r="P35" s="64"/>
      <c r="Q35" s="64" t="str">
        <f>IF('Milestone List and Forecasts'!G30=0,"",'Milestone List and Forecasts'!G30)</f>
        <v/>
      </c>
      <c r="R35" s="64"/>
      <c r="S35" s="108" t="str">
        <f>IF('Milestone List and Forecasts'!J30="x",". . .","")</f>
        <v/>
      </c>
      <c r="T35" s="38"/>
    </row>
    <row r="36" spans="4:21" ht="18" customHeight="1" x14ac:dyDescent="0.25">
      <c r="D36" s="97">
        <f>'Milestone List and Forecasts'!A31</f>
        <v>255</v>
      </c>
      <c r="E36" s="25" t="str">
        <f>'Milestone List and Forecasts'!C31</f>
        <v>Sprint-Provided Punchlist Received</v>
      </c>
      <c r="F36" s="25"/>
      <c r="G36" s="25"/>
      <c r="H36" s="25"/>
      <c r="I36" s="25"/>
      <c r="J36" s="25"/>
      <c r="K36" s="25"/>
      <c r="L36" s="25"/>
      <c r="M36" s="25"/>
      <c r="N36" s="25"/>
      <c r="O36" s="62">
        <f>'Milestone List and Forecasts'!F31</f>
        <v>41801</v>
      </c>
      <c r="P36" s="62"/>
      <c r="Q36" s="62" t="str">
        <f>IF('Milestone List and Forecasts'!G31=0,"",'Milestone List and Forecasts'!G31)</f>
        <v/>
      </c>
      <c r="R36" s="62"/>
      <c r="S36" s="107" t="str">
        <f>IF('Milestone List and Forecasts'!J31="x",". . .","")</f>
        <v>. . .</v>
      </c>
      <c r="T36" s="25"/>
    </row>
    <row r="37" spans="4:21" ht="18" customHeight="1" x14ac:dyDescent="0.25">
      <c r="D37" s="96">
        <f>'Milestone List and Forecasts'!A32</f>
        <v>260</v>
      </c>
      <c r="E37" s="38" t="str">
        <f>'Milestone List and Forecasts'!C32</f>
        <v>Punchlist Clean-up Complete</v>
      </c>
      <c r="F37" s="38"/>
      <c r="G37" s="38"/>
      <c r="H37" s="38"/>
      <c r="I37" s="38"/>
      <c r="J37" s="38"/>
      <c r="K37" s="38"/>
      <c r="L37" s="38"/>
      <c r="M37" s="38"/>
      <c r="N37" s="38"/>
      <c r="O37" s="64">
        <f>'Milestone List and Forecasts'!F32</f>
        <v>41802</v>
      </c>
      <c r="P37" s="64"/>
      <c r="Q37" s="64" t="str">
        <f>IF('Milestone List and Forecasts'!G32=0,"",'Milestone List and Forecasts'!G32)</f>
        <v/>
      </c>
      <c r="R37" s="64"/>
      <c r="S37" s="108" t="str">
        <f>IF('Milestone List and Forecasts'!J32="x",". . .","")</f>
        <v/>
      </c>
      <c r="T37" s="38"/>
      <c r="U37" s="11">
        <v>1</v>
      </c>
    </row>
    <row r="38" spans="4:21" ht="18" customHeight="1" x14ac:dyDescent="0.25">
      <c r="D38" s="97">
        <f>'Milestone List and Forecasts'!A33</f>
        <v>265</v>
      </c>
      <c r="E38" s="25" t="str">
        <f>'Milestone List and Forecasts'!C33</f>
        <v>Return of Unused Equipment Complete</v>
      </c>
      <c r="F38" s="25"/>
      <c r="G38" s="25"/>
      <c r="H38" s="25"/>
      <c r="I38" s="25"/>
      <c r="J38" s="25"/>
      <c r="K38" s="25"/>
      <c r="L38" s="25"/>
      <c r="M38" s="25"/>
      <c r="N38" s="25"/>
      <c r="O38" s="62">
        <f>'Milestone List and Forecasts'!F33</f>
        <v>41800</v>
      </c>
      <c r="P38" s="62"/>
      <c r="Q38" s="62" t="str">
        <f>IF('Milestone List and Forecasts'!G33=0,"",'Milestone List and Forecasts'!G33)</f>
        <v/>
      </c>
      <c r="R38" s="62"/>
      <c r="S38" s="107" t="str">
        <f>IF('Milestone List and Forecasts'!J33="x",". . .","")</f>
        <v/>
      </c>
      <c r="T38" s="25"/>
    </row>
    <row r="39" spans="4:21" ht="18" customHeight="1" x14ac:dyDescent="0.25">
      <c r="D39" s="96">
        <f>'Milestone List and Forecasts'!A34</f>
        <v>300</v>
      </c>
      <c r="E39" s="38" t="str">
        <f>'Milestone List and Forecasts'!C34</f>
        <v>Construction Documents Complete</v>
      </c>
      <c r="F39" s="38"/>
      <c r="G39" s="38"/>
      <c r="H39" s="38"/>
      <c r="I39" s="38"/>
      <c r="J39" s="38"/>
      <c r="K39" s="38"/>
      <c r="L39" s="38"/>
      <c r="M39" s="38"/>
      <c r="N39" s="38"/>
      <c r="O39" s="64">
        <f>'Milestone List and Forecasts'!F34</f>
        <v>41807</v>
      </c>
      <c r="P39" s="64"/>
      <c r="Q39" s="64" t="str">
        <f>IF('Milestone List and Forecasts'!G34=0,"",'Milestone List and Forecasts'!G34)</f>
        <v/>
      </c>
      <c r="R39" s="64"/>
      <c r="S39" s="108" t="str">
        <f>IF('Milestone List and Forecasts'!J34="x",". . .","")</f>
        <v>. . .</v>
      </c>
      <c r="T39" s="38"/>
    </row>
    <row r="40" spans="4:21" ht="18" customHeight="1" x14ac:dyDescent="0.25">
      <c r="D40" s="97">
        <f>'Milestone List and Forecasts'!A35</f>
        <v>305</v>
      </c>
      <c r="E40" s="25" t="str">
        <f>'Milestone List and Forecasts'!C35</f>
        <v>Construction Documents Submitted</v>
      </c>
      <c r="F40" s="25"/>
      <c r="G40" s="25"/>
      <c r="H40" s="25"/>
      <c r="I40" s="25"/>
      <c r="J40" s="25"/>
      <c r="K40" s="25"/>
      <c r="L40" s="25"/>
      <c r="M40" s="25"/>
      <c r="N40" s="25"/>
      <c r="O40" s="62">
        <f>'Milestone List and Forecasts'!F35</f>
        <v>41807</v>
      </c>
      <c r="P40" s="62"/>
      <c r="Q40" s="62" t="str">
        <f>IF('Milestone List and Forecasts'!G35=0,"",'Milestone List and Forecasts'!G35)</f>
        <v/>
      </c>
      <c r="R40" s="62"/>
      <c r="S40" s="107" t="str">
        <f>IF('Milestone List and Forecasts'!J35="x",". . .","")</f>
        <v/>
      </c>
      <c r="T40" s="25"/>
    </row>
    <row r="41" spans="4:21" ht="18" customHeight="1" x14ac:dyDescent="0.25">
      <c r="D41" s="96">
        <f>'Milestone List and Forecasts'!A36</f>
        <v>310</v>
      </c>
      <c r="E41" s="38" t="str">
        <f>'Milestone List and Forecasts'!C36</f>
        <v>Construction Complete &amp; Final Acceptance Checklist Complete</v>
      </c>
      <c r="F41" s="38"/>
      <c r="G41" s="38"/>
      <c r="H41" s="38"/>
      <c r="I41" s="38"/>
      <c r="J41" s="38"/>
      <c r="K41" s="38"/>
      <c r="L41" s="38"/>
      <c r="M41" s="38"/>
      <c r="N41" s="38"/>
      <c r="O41" s="64">
        <f>'Milestone List and Forecasts'!F36</f>
        <v>41806</v>
      </c>
      <c r="P41" s="64"/>
      <c r="Q41" s="64" t="str">
        <f>IF('Milestone List and Forecasts'!G36=0,"",'Milestone List and Forecasts'!G36)</f>
        <v/>
      </c>
      <c r="R41" s="64"/>
      <c r="S41" s="108" t="str">
        <f>IF('Milestone List and Forecasts'!J36="x",". . .","")</f>
        <v/>
      </c>
      <c r="T41" s="38"/>
    </row>
    <row r="42" spans="4:21" ht="18" customHeight="1" x14ac:dyDescent="0.25">
      <c r="D42" s="97">
        <f>'Milestone List and Forecasts'!A37</f>
        <v>315</v>
      </c>
      <c r="E42" s="25" t="str">
        <f>'Milestone List and Forecasts'!C37</f>
        <v>Construction Complete</v>
      </c>
      <c r="F42" s="25"/>
      <c r="G42" s="25"/>
      <c r="H42" s="25"/>
      <c r="I42" s="25"/>
      <c r="J42" s="25"/>
      <c r="K42" s="25"/>
      <c r="L42" s="25"/>
      <c r="M42" s="25"/>
      <c r="N42" s="25"/>
      <c r="O42" s="62">
        <f>'Milestone List and Forecasts'!F37</f>
        <v>41807</v>
      </c>
      <c r="P42" s="62"/>
      <c r="Q42" s="62" t="str">
        <f>IF('Milestone List and Forecasts'!G37=0,"",'Milestone List and Forecasts'!G37)</f>
        <v/>
      </c>
      <c r="R42" s="62"/>
      <c r="S42" s="107" t="str">
        <f>IF('Milestone List and Forecasts'!J37="x",". . .","")</f>
        <v/>
      </c>
      <c r="T42" s="25"/>
    </row>
    <row r="43" spans="4:21" ht="18" customHeight="1" x14ac:dyDescent="0.25">
      <c r="D43" s="96">
        <f>'Milestone List and Forecasts'!A38</f>
        <v>320</v>
      </c>
      <c r="E43" s="38" t="str">
        <f>'Milestone List and Forecasts'!C38</f>
        <v>Final Acceptance Documents Complete</v>
      </c>
      <c r="F43" s="38"/>
      <c r="G43" s="38"/>
      <c r="H43" s="38"/>
      <c r="I43" s="38"/>
      <c r="J43" s="38"/>
      <c r="K43" s="38"/>
      <c r="L43" s="38"/>
      <c r="M43" s="38"/>
      <c r="N43" s="38"/>
      <c r="O43" s="64">
        <f>'Milestone List and Forecasts'!F38</f>
        <v>41807</v>
      </c>
      <c r="P43" s="64"/>
      <c r="Q43" s="64" t="str">
        <f>IF('Milestone List and Forecasts'!G38=0,"",'Milestone List and Forecasts'!G38)</f>
        <v/>
      </c>
      <c r="R43" s="64"/>
      <c r="S43" s="108" t="str">
        <f>IF('Milestone List and Forecasts'!J38="x",". . .","")</f>
        <v>. . .</v>
      </c>
      <c r="T43" s="38"/>
    </row>
    <row r="44" spans="4:21" ht="18" customHeight="1" x14ac:dyDescent="0.25">
      <c r="D44" s="97">
        <f>'Milestone List and Forecasts'!A39</f>
        <v>325</v>
      </c>
      <c r="E44" s="25" t="str">
        <f>'Milestone List and Forecasts'!C39</f>
        <v>Acceptance Request Submitted</v>
      </c>
      <c r="F44" s="25"/>
      <c r="G44" s="25"/>
      <c r="H44" s="25"/>
      <c r="I44" s="25"/>
      <c r="J44" s="25"/>
      <c r="K44" s="25"/>
      <c r="L44" s="25"/>
      <c r="M44" s="25"/>
      <c r="N44" s="25"/>
      <c r="O44" s="62">
        <f>'Milestone List and Forecasts'!F39</f>
        <v>41807</v>
      </c>
      <c r="P44" s="62"/>
      <c r="Q44" s="62" t="str">
        <f>IF('Milestone List and Forecasts'!G39=0,"",'Milestone List and Forecasts'!G39)</f>
        <v/>
      </c>
      <c r="R44" s="62"/>
      <c r="S44" s="107" t="str">
        <f>IF('Milestone List and Forecasts'!J39="x",". . .","")</f>
        <v/>
      </c>
      <c r="T44" s="25"/>
    </row>
    <row r="45" spans="4:21" ht="18" customHeight="1" x14ac:dyDescent="0.25">
      <c r="D45" s="96">
        <f>'Milestone List and Forecasts'!A40</f>
        <v>330</v>
      </c>
      <c r="E45" s="38" t="str">
        <f>'Milestone List and Forecasts'!C40</f>
        <v>Final Acceptance</v>
      </c>
      <c r="F45" s="38"/>
      <c r="G45" s="38"/>
      <c r="H45" s="38"/>
      <c r="I45" s="38"/>
      <c r="J45" s="38"/>
      <c r="K45" s="38"/>
      <c r="L45" s="38"/>
      <c r="M45" s="38"/>
      <c r="N45" s="38"/>
      <c r="O45" s="64">
        <f>'Milestone List and Forecasts'!F40</f>
        <v>41814</v>
      </c>
      <c r="P45" s="64"/>
      <c r="Q45" s="64" t="str">
        <f>IF('Milestone List and Forecasts'!G40=0,"",'Milestone List and Forecasts'!G40)</f>
        <v/>
      </c>
      <c r="R45" s="64"/>
      <c r="S45" s="108" t="str">
        <f>IF('Milestone List and Forecasts'!J40="x",". . .","")</f>
        <v>. . .</v>
      </c>
      <c r="T45" s="38"/>
    </row>
    <row r="47" spans="4:21" ht="18" customHeight="1" x14ac:dyDescent="0.25">
      <c r="Q47" s="143" t="s">
        <v>175</v>
      </c>
      <c r="R47" s="143"/>
      <c r="S47" s="143"/>
      <c r="T47" s="143"/>
    </row>
    <row r="48" spans="4:21" ht="18" customHeight="1" x14ac:dyDescent="0.25">
      <c r="Q48" s="143"/>
      <c r="R48" s="143"/>
      <c r="S48" s="143"/>
      <c r="T48" s="143"/>
    </row>
  </sheetData>
  <mergeCells count="1">
    <mergeCell ref="Q47:T48"/>
  </mergeCells>
  <hyperlinks>
    <hyperlink ref="C9" location="Projects!A1" display="Projects"/>
    <hyperlink ref="F9" location="'SP-MOD-003-WA - Header'!A1" display="Header"/>
    <hyperlink ref="Q47:T48" location="Projects!A1" display="Submit"/>
    <hyperlink ref="S17" location="'SAP Submitted - Docs'!A1" display="'SAP Submitted - Docs'!A1"/>
    <hyperlink ref="I9" location="Orders!A1" display="Orders"/>
    <hyperlink ref="L9" location="'SP-MOD-003-WA - Docs'!A1" display="Docs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BA34"/>
  <sheetViews>
    <sheetView showGridLines="0" zoomScaleNormal="100" workbookViewId="0">
      <selection activeCell="F9" sqref="F9"/>
    </sheetView>
  </sheetViews>
  <sheetFormatPr defaultColWidth="4.7109375" defaultRowHeight="18" customHeight="1" x14ac:dyDescent="0.25"/>
  <cols>
    <col min="1" max="8" width="4.7109375" style="11"/>
    <col min="9" max="9" width="11.28515625" style="11" bestFit="1" customWidth="1"/>
    <col min="10" max="44" width="4.7109375" style="11"/>
    <col min="45" max="53" width="20.7109375" style="11" customWidth="1"/>
    <col min="54" max="16384" width="4.7109375" style="11"/>
  </cols>
  <sheetData>
    <row r="1" spans="2:53" ht="18" customHeight="1" x14ac:dyDescent="0.25">
      <c r="AS1" s="11" t="s">
        <v>117</v>
      </c>
      <c r="AT1" s="11" t="s">
        <v>116</v>
      </c>
      <c r="AU1" s="11" t="s">
        <v>117</v>
      </c>
      <c r="AV1" s="11" t="s">
        <v>184</v>
      </c>
      <c r="AW1" s="11" t="s">
        <v>185</v>
      </c>
      <c r="AX1" s="11" t="s">
        <v>186</v>
      </c>
      <c r="AY1" s="11" t="s">
        <v>210</v>
      </c>
      <c r="AZ1" s="11" t="s">
        <v>188</v>
      </c>
      <c r="BA1" s="11" t="s">
        <v>129</v>
      </c>
    </row>
    <row r="2" spans="2:53" ht="18" customHeight="1" x14ac:dyDescent="0.25">
      <c r="AZ2" s="11" t="s">
        <v>189</v>
      </c>
      <c r="BA2" s="11" t="s">
        <v>130</v>
      </c>
    </row>
    <row r="3" spans="2:53" ht="18" customHeight="1" x14ac:dyDescent="0.25">
      <c r="AZ3" s="11" t="s">
        <v>190</v>
      </c>
      <c r="BA3" s="11" t="s">
        <v>131</v>
      </c>
    </row>
    <row r="4" spans="2:53" ht="18" customHeight="1" x14ac:dyDescent="0.25">
      <c r="BA4" s="11" t="s">
        <v>132</v>
      </c>
    </row>
    <row r="5" spans="2:53" ht="18" customHeight="1" x14ac:dyDescent="0.25">
      <c r="BA5" s="11" t="s">
        <v>194</v>
      </c>
    </row>
    <row r="6" spans="2:53" ht="18" customHeight="1" x14ac:dyDescent="0.25">
      <c r="BA6" s="11" t="s">
        <v>134</v>
      </c>
    </row>
    <row r="7" spans="2:53" ht="18" customHeight="1" x14ac:dyDescent="0.25">
      <c r="B7" s="31" t="s">
        <v>180</v>
      </c>
      <c r="C7" s="25"/>
      <c r="D7" s="25"/>
      <c r="E7" s="25"/>
      <c r="F7" s="25"/>
      <c r="BA7" s="11" t="s">
        <v>135</v>
      </c>
    </row>
    <row r="8" spans="2:53" ht="6" customHeight="1" x14ac:dyDescent="0.25">
      <c r="B8" s="25"/>
      <c r="C8" s="25"/>
      <c r="D8" s="25"/>
      <c r="E8" s="25"/>
      <c r="F8" s="25"/>
      <c r="BA8" s="11" t="s">
        <v>136</v>
      </c>
    </row>
    <row r="9" spans="2:53" s="25" customFormat="1" ht="18" customHeight="1" x14ac:dyDescent="0.25">
      <c r="C9" s="37" t="s">
        <v>145</v>
      </c>
      <c r="F9" s="37" t="s">
        <v>181</v>
      </c>
      <c r="I9" s="77" t="s">
        <v>146</v>
      </c>
      <c r="K9" s="37" t="s">
        <v>193</v>
      </c>
      <c r="BA9" s="25" t="s">
        <v>137</v>
      </c>
    </row>
    <row r="10" spans="2:53" ht="18" customHeight="1" x14ac:dyDescent="0.25">
      <c r="B10" s="44"/>
      <c r="C10" s="44"/>
      <c r="D10" s="44"/>
      <c r="E10" s="44"/>
      <c r="F10" s="44"/>
      <c r="G10" s="44"/>
      <c r="H10" s="44"/>
      <c r="BA10" s="11" t="s">
        <v>138</v>
      </c>
    </row>
    <row r="11" spans="2:53" ht="18" customHeight="1" x14ac:dyDescent="0.25">
      <c r="B11" s="44"/>
      <c r="C11" s="44"/>
      <c r="D11" s="45" t="s">
        <v>182</v>
      </c>
      <c r="E11" s="44"/>
      <c r="F11" s="44"/>
      <c r="G11" s="44"/>
      <c r="I11" s="53">
        <v>4523</v>
      </c>
      <c r="J11" s="54"/>
      <c r="K11" s="54"/>
      <c r="L11" s="54"/>
      <c r="M11" s="54"/>
      <c r="N11" s="54"/>
      <c r="O11" s="55"/>
      <c r="BA11" s="11" t="s">
        <v>139</v>
      </c>
    </row>
    <row r="12" spans="2:53" ht="6" customHeight="1" x14ac:dyDescent="0.25">
      <c r="B12" s="44"/>
      <c r="C12" s="44"/>
      <c r="D12" s="45"/>
      <c r="E12" s="44"/>
      <c r="F12" s="44"/>
      <c r="G12" s="44"/>
      <c r="I12" s="47"/>
      <c r="J12" s="23"/>
      <c r="K12" s="23"/>
      <c r="L12" s="23"/>
      <c r="M12" s="23"/>
      <c r="N12" s="23"/>
      <c r="O12" s="23"/>
    </row>
    <row r="13" spans="2:53" ht="18" customHeight="1" x14ac:dyDescent="0.25">
      <c r="B13" s="44"/>
      <c r="C13" s="44"/>
      <c r="D13" s="45" t="s">
        <v>110</v>
      </c>
      <c r="E13" s="44"/>
      <c r="F13" s="44"/>
      <c r="G13" s="44"/>
      <c r="I13" s="53" t="s">
        <v>120</v>
      </c>
      <c r="J13" s="54"/>
      <c r="K13" s="54"/>
      <c r="L13" s="54"/>
      <c r="M13" s="54"/>
      <c r="N13" s="54"/>
      <c r="O13" s="55"/>
    </row>
    <row r="14" spans="2:53" ht="6" customHeight="1" x14ac:dyDescent="0.25">
      <c r="B14" s="44"/>
      <c r="C14" s="44"/>
      <c r="D14" s="45"/>
      <c r="E14" s="44"/>
      <c r="F14" s="44"/>
      <c r="G14" s="44"/>
      <c r="I14" s="44"/>
    </row>
    <row r="15" spans="2:53" ht="18" customHeight="1" x14ac:dyDescent="0.25">
      <c r="B15" s="44"/>
      <c r="C15" s="44"/>
      <c r="D15" s="45" t="s">
        <v>187</v>
      </c>
      <c r="E15" s="44"/>
      <c r="F15" s="44"/>
      <c r="G15" s="44"/>
      <c r="I15" s="52">
        <v>1</v>
      </c>
      <c r="J15" s="23"/>
      <c r="K15" s="23"/>
      <c r="L15" s="23"/>
      <c r="M15" s="23"/>
      <c r="N15" s="23"/>
      <c r="O15" s="23"/>
    </row>
    <row r="16" spans="2:53" ht="6" customHeight="1" x14ac:dyDescent="0.25">
      <c r="B16" s="44"/>
      <c r="C16" s="44"/>
      <c r="D16" s="45"/>
      <c r="E16" s="44"/>
      <c r="F16" s="44"/>
      <c r="G16" s="44"/>
      <c r="I16" s="44"/>
    </row>
    <row r="17" spans="2:15" ht="18" customHeight="1" x14ac:dyDescent="0.25">
      <c r="B17" s="44"/>
      <c r="C17" s="44"/>
      <c r="D17" s="45" t="s">
        <v>172</v>
      </c>
      <c r="E17" s="44"/>
      <c r="F17" s="44"/>
      <c r="G17" s="44"/>
      <c r="I17" s="44">
        <v>3</v>
      </c>
    </row>
    <row r="18" spans="2:15" ht="6" customHeight="1" x14ac:dyDescent="0.25">
      <c r="B18" s="44"/>
      <c r="C18" s="44"/>
      <c r="D18" s="45"/>
      <c r="E18" s="44"/>
      <c r="F18" s="44"/>
      <c r="G18" s="44"/>
      <c r="I18" s="44"/>
    </row>
    <row r="19" spans="2:15" ht="18" customHeight="1" x14ac:dyDescent="0.25">
      <c r="B19" s="44"/>
      <c r="C19" s="44"/>
      <c r="D19" s="45" t="s">
        <v>112</v>
      </c>
      <c r="E19" s="44"/>
      <c r="F19" s="44"/>
      <c r="G19" s="44"/>
      <c r="I19" s="47">
        <v>1</v>
      </c>
      <c r="J19" s="23"/>
      <c r="K19" s="23"/>
      <c r="L19" s="23"/>
      <c r="M19" s="23"/>
      <c r="N19" s="23"/>
      <c r="O19" s="23"/>
    </row>
    <row r="20" spans="2:15" ht="6" customHeight="1" x14ac:dyDescent="0.25">
      <c r="B20" s="44"/>
      <c r="C20" s="44"/>
      <c r="D20" s="45"/>
      <c r="E20" s="44"/>
      <c r="F20" s="44"/>
      <c r="G20" s="47"/>
      <c r="I20" s="47"/>
      <c r="J20" s="23"/>
      <c r="K20" s="23"/>
      <c r="L20" s="23"/>
      <c r="M20" s="23"/>
      <c r="N20" s="23"/>
      <c r="O20" s="23"/>
    </row>
    <row r="21" spans="2:15" ht="18" customHeight="1" x14ac:dyDescent="0.25">
      <c r="D21" s="46" t="s">
        <v>111</v>
      </c>
      <c r="G21" s="23"/>
      <c r="I21" s="23">
        <v>1</v>
      </c>
      <c r="J21" s="23"/>
      <c r="K21" s="23"/>
      <c r="L21" s="23"/>
      <c r="M21" s="23"/>
      <c r="N21" s="23"/>
      <c r="O21" s="23"/>
    </row>
    <row r="22" spans="2:15" ht="6" customHeight="1" x14ac:dyDescent="0.25">
      <c r="D22" s="46"/>
      <c r="G22" s="23"/>
      <c r="I22" s="23"/>
      <c r="J22" s="23"/>
      <c r="K22" s="23"/>
      <c r="L22" s="23"/>
      <c r="M22" s="23"/>
      <c r="N22" s="23"/>
      <c r="O22" s="23"/>
    </row>
    <row r="23" spans="2:15" ht="18" customHeight="1" x14ac:dyDescent="0.25">
      <c r="D23" s="46" t="s">
        <v>206</v>
      </c>
      <c r="G23" s="23"/>
      <c r="I23" s="23">
        <v>1</v>
      </c>
      <c r="J23" s="23"/>
      <c r="K23" s="23"/>
      <c r="L23" s="23"/>
      <c r="M23" s="23"/>
      <c r="N23" s="23"/>
      <c r="O23" s="23"/>
    </row>
    <row r="24" spans="2:15" ht="6" customHeight="1" x14ac:dyDescent="0.25">
      <c r="D24" s="46"/>
    </row>
    <row r="25" spans="2:15" ht="18" customHeight="1" x14ac:dyDescent="0.25">
      <c r="D25" s="46" t="s">
        <v>207</v>
      </c>
      <c r="I25" s="56">
        <v>1</v>
      </c>
      <c r="J25" s="23"/>
      <c r="K25" s="23"/>
      <c r="L25" s="23"/>
      <c r="M25" s="23"/>
      <c r="N25" s="23"/>
      <c r="O25" s="23"/>
    </row>
    <row r="26" spans="2:15" ht="6" customHeight="1" x14ac:dyDescent="0.25">
      <c r="D26" s="46"/>
    </row>
    <row r="27" spans="2:15" ht="18" customHeight="1" x14ac:dyDescent="0.25">
      <c r="D27" s="46" t="s">
        <v>208</v>
      </c>
      <c r="I27" s="23">
        <v>1</v>
      </c>
      <c r="J27" s="23"/>
      <c r="K27" s="23"/>
      <c r="L27" s="23"/>
      <c r="M27" s="23"/>
      <c r="N27" s="23"/>
      <c r="O27" s="23"/>
    </row>
    <row r="28" spans="2:15" ht="6" customHeight="1" x14ac:dyDescent="0.25">
      <c r="D28" s="46"/>
    </row>
    <row r="29" spans="2:15" ht="18" customHeight="1" x14ac:dyDescent="0.25">
      <c r="D29" s="46" t="s">
        <v>209</v>
      </c>
      <c r="I29" s="57">
        <v>1</v>
      </c>
      <c r="J29" s="23"/>
      <c r="K29" s="23"/>
      <c r="L29" s="23"/>
      <c r="M29" s="23"/>
      <c r="N29" s="23"/>
      <c r="O29" s="23"/>
    </row>
    <row r="30" spans="2:15" ht="6" customHeight="1" x14ac:dyDescent="0.25">
      <c r="D30" s="46"/>
    </row>
    <row r="31" spans="2:15" ht="18" customHeight="1" x14ac:dyDescent="0.25">
      <c r="D31" s="46" t="s">
        <v>183</v>
      </c>
      <c r="I31" s="57">
        <v>1</v>
      </c>
      <c r="J31" s="23"/>
      <c r="K31" s="23"/>
      <c r="L31" s="23"/>
      <c r="M31" s="23"/>
      <c r="N31" s="23"/>
      <c r="O31" s="23"/>
    </row>
    <row r="33" spans="8:15" ht="18" customHeight="1" x14ac:dyDescent="0.25">
      <c r="H33" s="51"/>
      <c r="I33" s="51"/>
      <c r="L33" s="143" t="s">
        <v>175</v>
      </c>
      <c r="M33" s="143"/>
      <c r="N33" s="143"/>
      <c r="O33" s="143"/>
    </row>
    <row r="34" spans="8:15" ht="18" customHeight="1" x14ac:dyDescent="0.25">
      <c r="L34" s="143"/>
      <c r="M34" s="143"/>
      <c r="N34" s="143"/>
      <c r="O34" s="143"/>
    </row>
  </sheetData>
  <mergeCells count="1">
    <mergeCell ref="L33:O34"/>
  </mergeCells>
  <hyperlinks>
    <hyperlink ref="C9" location="Projects!A1" display="Projects"/>
    <hyperlink ref="F9" location="'SP-MOD-003-WA - Milestones'!A1" display="Milestones"/>
    <hyperlink ref="L33:O34" location="'SP-MOD-003-WA - Milestones'!A1" display="Submit"/>
    <hyperlink ref="I9" location="Orders!A1" display="Orders"/>
    <hyperlink ref="K9" location="'SP-MOD-003-WA - Docs'!A1" display="Docs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Drop Down 1">
              <controlPr defaultSize="0" autoLine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15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15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15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Drop Down 5">
              <controlPr defaultSize="0" autoLine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Drop Down 7">
              <controlPr defaultSize="0" autoLine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Drop Down 8">
              <controlPr defaultSize="0" autoLine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15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Drop Down 9">
              <controlPr defaultSize="0" autoLine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15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0" name="Drop Down 10">
              <controlPr defaultSize="0" autoLine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15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1" name="Drop Down 11">
              <controlPr defaultSize="0" autoLine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15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7:Y17"/>
  <sheetViews>
    <sheetView showGridLines="0" zoomScaleNormal="100" workbookViewId="0"/>
  </sheetViews>
  <sheetFormatPr defaultColWidth="4.7109375" defaultRowHeight="18" customHeight="1" x14ac:dyDescent="0.25"/>
  <cols>
    <col min="1" max="17" width="4.7109375" style="25"/>
    <col min="18" max="18" width="10.140625" style="25" bestFit="1" customWidth="1"/>
    <col min="19" max="16384" width="4.7109375" style="25"/>
  </cols>
  <sheetData>
    <row r="7" spans="2:25" ht="18" customHeight="1" x14ac:dyDescent="0.25">
      <c r="B7" s="31" t="s">
        <v>195</v>
      </c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</row>
    <row r="8" spans="2:25" ht="6" customHeight="1" x14ac:dyDescent="0.25"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</row>
    <row r="9" spans="2:25" ht="18" customHeight="1" x14ac:dyDescent="0.25">
      <c r="C9" s="37" t="s">
        <v>145</v>
      </c>
      <c r="F9" s="37" t="s">
        <v>179</v>
      </c>
      <c r="H9" s="29"/>
      <c r="I9" s="37" t="s">
        <v>181</v>
      </c>
      <c r="J9" s="29"/>
      <c r="K9" s="29"/>
      <c r="L9" s="29"/>
      <c r="M9" s="36" t="s">
        <v>146</v>
      </c>
      <c r="N9" s="29"/>
      <c r="O9" s="29"/>
      <c r="P9" s="37" t="s">
        <v>193</v>
      </c>
      <c r="Q9" s="29"/>
      <c r="R9" s="29"/>
      <c r="S9" s="29"/>
      <c r="T9" s="29"/>
    </row>
    <row r="10" spans="2:25" ht="18" customHeight="1" x14ac:dyDescent="0.25"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</row>
    <row r="11" spans="2:25" s="31" customFormat="1" ht="18" customHeight="1" thickBot="1" x14ac:dyDescent="0.3">
      <c r="D11" s="148" t="s">
        <v>226</v>
      </c>
      <c r="E11" s="148"/>
      <c r="F11" s="32"/>
      <c r="G11" s="32" t="s">
        <v>225</v>
      </c>
      <c r="H11" s="33"/>
      <c r="I11" s="32"/>
      <c r="J11" s="32"/>
      <c r="K11" s="33"/>
      <c r="L11" s="34"/>
      <c r="M11" s="33"/>
      <c r="N11" s="33"/>
      <c r="O11" s="33"/>
      <c r="P11" s="33"/>
      <c r="Q11" s="33"/>
      <c r="R11" s="147" t="s">
        <v>197</v>
      </c>
      <c r="S11" s="147"/>
      <c r="T11" s="33"/>
      <c r="U11" s="147" t="s">
        <v>198</v>
      </c>
      <c r="V11" s="147"/>
      <c r="W11" s="33"/>
      <c r="X11" s="33"/>
    </row>
    <row r="12" spans="2:25" ht="18" customHeight="1" x14ac:dyDescent="0.25">
      <c r="D12" s="144" t="s">
        <v>203</v>
      </c>
      <c r="E12" s="144"/>
      <c r="G12" s="37" t="s">
        <v>199</v>
      </c>
      <c r="H12" s="36"/>
      <c r="I12" s="29"/>
      <c r="K12" s="29"/>
      <c r="L12" s="29"/>
      <c r="M12" s="29"/>
      <c r="N12" s="29"/>
      <c r="Q12" s="29"/>
      <c r="R12" s="151">
        <v>41758</v>
      </c>
      <c r="S12" s="151"/>
      <c r="U12" s="144" t="s">
        <v>202</v>
      </c>
      <c r="V12" s="144"/>
      <c r="W12" s="68"/>
      <c r="X12" s="69"/>
    </row>
    <row r="13" spans="2:25" ht="18" customHeight="1" x14ac:dyDescent="0.25">
      <c r="D13" s="149" t="s">
        <v>204</v>
      </c>
      <c r="E13" s="149"/>
      <c r="F13" s="38"/>
      <c r="G13" s="39" t="s">
        <v>200</v>
      </c>
      <c r="H13" s="39"/>
      <c r="I13" s="40"/>
      <c r="J13" s="38"/>
      <c r="K13" s="40"/>
      <c r="L13" s="42"/>
      <c r="M13" s="42"/>
      <c r="N13" s="40"/>
      <c r="O13" s="38"/>
      <c r="P13" s="40"/>
      <c r="Q13" s="40"/>
      <c r="R13" s="152">
        <v>41758</v>
      </c>
      <c r="S13" s="152"/>
      <c r="T13" s="40"/>
      <c r="U13" s="145" t="s">
        <v>202</v>
      </c>
      <c r="V13" s="145"/>
      <c r="W13" s="40"/>
      <c r="X13" s="40"/>
    </row>
    <row r="14" spans="2:25" ht="18" customHeight="1" x14ac:dyDescent="0.25">
      <c r="D14" s="150" t="s">
        <v>45</v>
      </c>
      <c r="E14" s="150"/>
      <c r="G14" s="36" t="s">
        <v>201</v>
      </c>
      <c r="H14" s="36"/>
      <c r="I14" s="29"/>
      <c r="K14" s="29"/>
      <c r="L14" s="30"/>
      <c r="M14" s="30"/>
      <c r="N14" s="29"/>
      <c r="P14" s="29"/>
      <c r="Q14" s="29"/>
      <c r="R14" s="153">
        <v>41758</v>
      </c>
      <c r="S14" s="153"/>
      <c r="T14" s="29"/>
      <c r="U14" s="146" t="s">
        <v>202</v>
      </c>
      <c r="V14" s="146"/>
      <c r="W14" s="29"/>
      <c r="X14" s="29"/>
      <c r="Y14" s="29"/>
    </row>
    <row r="15" spans="2:25" ht="18" customHeight="1" x14ac:dyDescent="0.25">
      <c r="W15" s="69"/>
      <c r="X15" s="69"/>
    </row>
    <row r="16" spans="2:25" ht="18" customHeight="1" x14ac:dyDescent="0.25">
      <c r="U16" s="142" t="s">
        <v>205</v>
      </c>
      <c r="V16" s="142"/>
      <c r="W16" s="142"/>
      <c r="X16" s="142"/>
    </row>
    <row r="17" spans="21:24" ht="18" customHeight="1" x14ac:dyDescent="0.25">
      <c r="U17" s="142"/>
      <c r="V17" s="142"/>
      <c r="W17" s="142"/>
      <c r="X17" s="142"/>
    </row>
  </sheetData>
  <mergeCells count="13">
    <mergeCell ref="D11:E11"/>
    <mergeCell ref="D12:E12"/>
    <mergeCell ref="D13:E13"/>
    <mergeCell ref="D14:E14"/>
    <mergeCell ref="R11:S11"/>
    <mergeCell ref="R12:S12"/>
    <mergeCell ref="R13:S13"/>
    <mergeCell ref="R14:S14"/>
    <mergeCell ref="U16:X17"/>
    <mergeCell ref="U12:V12"/>
    <mergeCell ref="U13:V13"/>
    <mergeCell ref="U14:V14"/>
    <mergeCell ref="U11:V11"/>
  </mergeCells>
  <hyperlinks>
    <hyperlink ref="C9" location="Projects!A1" display="Projects"/>
    <hyperlink ref="F9" location="'SP-MOD-003-WA - Header'!A1" display="Header"/>
    <hyperlink ref="I9" location="'SP-MOD-003-WA - Milestones'!A1" display="Milestones"/>
    <hyperlink ref="G12" r:id="rId1"/>
    <hyperlink ref="M9" location="Orders!A1" display="Orders"/>
    <hyperlink ref="P9" location="'SP-MOD-003-WA - Docs'!A1" display="Docs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7:X14"/>
  <sheetViews>
    <sheetView showGridLines="0" workbookViewId="0">
      <selection activeCell="I9" sqref="I9"/>
    </sheetView>
  </sheetViews>
  <sheetFormatPr defaultColWidth="4.7109375" defaultRowHeight="18" customHeight="1" x14ac:dyDescent="0.25"/>
  <cols>
    <col min="1" max="3" width="4.7109375" style="25"/>
    <col min="4" max="4" width="5.5703125" style="25" bestFit="1" customWidth="1"/>
    <col min="5" max="9" width="4.7109375" style="25"/>
    <col min="10" max="10" width="10.140625" style="25" bestFit="1" customWidth="1"/>
    <col min="11" max="12" width="4.7109375" style="25"/>
    <col min="13" max="13" width="6" style="25" customWidth="1"/>
    <col min="14" max="16384" width="4.7109375" style="25"/>
  </cols>
  <sheetData>
    <row r="7" spans="2:24" ht="18" customHeight="1" x14ac:dyDescent="0.25">
      <c r="B7" s="31" t="s">
        <v>214</v>
      </c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</row>
    <row r="8" spans="2:24" ht="6" customHeight="1" x14ac:dyDescent="0.25"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</row>
    <row r="9" spans="2:24" ht="18" customHeight="1" x14ac:dyDescent="0.25">
      <c r="C9" s="37"/>
      <c r="F9" s="37" t="s">
        <v>145</v>
      </c>
      <c r="I9" s="37" t="s">
        <v>181</v>
      </c>
      <c r="K9" s="29"/>
      <c r="L9" s="37" t="s">
        <v>179</v>
      </c>
      <c r="N9" s="29"/>
      <c r="O9" s="37" t="s">
        <v>193</v>
      </c>
      <c r="P9" s="29"/>
      <c r="Q9" s="29"/>
      <c r="R9" s="29"/>
      <c r="S9" s="29"/>
      <c r="T9" s="29"/>
    </row>
    <row r="10" spans="2:24" ht="18" customHeight="1" x14ac:dyDescent="0.25"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</row>
    <row r="11" spans="2:24" s="31" customFormat="1" ht="18" customHeight="1" thickBot="1" x14ac:dyDescent="0.3">
      <c r="D11" s="32" t="s">
        <v>219</v>
      </c>
      <c r="E11" s="32"/>
      <c r="F11" s="32"/>
      <c r="G11" s="33" t="s">
        <v>196</v>
      </c>
      <c r="H11" s="33"/>
      <c r="I11" s="32"/>
      <c r="J11" s="33" t="s">
        <v>221</v>
      </c>
      <c r="K11" s="33"/>
      <c r="L11" s="33" t="s">
        <v>222</v>
      </c>
      <c r="M11" s="33"/>
      <c r="N11" s="72" t="s">
        <v>223</v>
      </c>
      <c r="O11" s="33"/>
      <c r="P11" s="33"/>
      <c r="Q11" s="29"/>
      <c r="R11" s="29"/>
      <c r="S11" s="35"/>
      <c r="T11" s="35"/>
    </row>
    <row r="12" spans="2:24" ht="15.75" x14ac:dyDescent="0.25">
      <c r="D12" s="76">
        <v>1014</v>
      </c>
      <c r="E12" s="74"/>
      <c r="F12" s="74"/>
      <c r="G12" s="78" t="s">
        <v>224</v>
      </c>
      <c r="H12" s="79"/>
      <c r="I12" s="80"/>
      <c r="J12" s="81">
        <v>41758</v>
      </c>
      <c r="K12" s="80"/>
      <c r="L12" s="82">
        <v>0</v>
      </c>
      <c r="M12" s="80"/>
      <c r="N12" s="154">
        <v>18965.8</v>
      </c>
      <c r="O12" s="154"/>
      <c r="P12" s="154"/>
      <c r="Q12" s="29"/>
      <c r="R12" s="29"/>
    </row>
    <row r="13" spans="2:24" ht="15.75" x14ac:dyDescent="0.25">
      <c r="D13" s="39">
        <v>1014</v>
      </c>
      <c r="E13" s="40"/>
      <c r="F13" s="40"/>
      <c r="G13" s="83" t="s">
        <v>227</v>
      </c>
      <c r="H13" s="39"/>
      <c r="I13" s="40"/>
      <c r="J13" s="84">
        <v>41768</v>
      </c>
      <c r="K13" s="40"/>
      <c r="L13" s="85">
        <v>0</v>
      </c>
      <c r="M13" s="40"/>
      <c r="N13" s="155">
        <v>18965.8</v>
      </c>
      <c r="O13" s="155"/>
      <c r="P13" s="155"/>
    </row>
    <row r="14" spans="2:24" ht="15.75" x14ac:dyDescent="0.25"/>
  </sheetData>
  <mergeCells count="2">
    <mergeCell ref="N12:P12"/>
    <mergeCell ref="N13:P13"/>
  </mergeCells>
  <hyperlinks>
    <hyperlink ref="F9" location="Projects!A1" display="Projects"/>
    <hyperlink ref="I9" location="'SP-MOD-003-WA - Milestones'!A1" display="Milestones"/>
    <hyperlink ref="L9" location="'SP-MOD-003-WA - Header'!A1" display="Header"/>
    <hyperlink ref="D12" location="'1014 - Bid Details'!A1" display="'1014 - Bid Details'!A1"/>
    <hyperlink ref="D13" location="'1014 - PO Details'!A1" display="'1014 - PO Details'!A1"/>
    <hyperlink ref="O9" location="'SP-MOD-003-WA - Docs'!A1" display="Docs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utton_Add_Order">
                <anchor moveWithCells="1" sizeWithCells="1">
                  <from>
                    <xdr:col>1</xdr:col>
                    <xdr:colOff>238125</xdr:colOff>
                    <xdr:row>8</xdr:row>
                    <xdr:rowOff>28575</xdr:rowOff>
                  </from>
                  <to>
                    <xdr:col>3</xdr:col>
                    <xdr:colOff>361950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Z25"/>
  <sheetViews>
    <sheetView showGridLines="0" zoomScaleNormal="100" workbookViewId="0">
      <selection activeCell="N29" sqref="N29"/>
    </sheetView>
  </sheetViews>
  <sheetFormatPr defaultColWidth="4.7109375" defaultRowHeight="18" customHeight="1" x14ac:dyDescent="0.25"/>
  <cols>
    <col min="1" max="3" width="4.7109375" style="25"/>
    <col min="4" max="4" width="7.42578125" style="25" customWidth="1"/>
    <col min="5" max="5" width="17.5703125" style="25" customWidth="1"/>
    <col min="6" max="6" width="13" style="25" customWidth="1"/>
    <col min="7" max="7" width="67.85546875" style="25" bestFit="1" customWidth="1"/>
    <col min="8" max="8" width="6.85546875" style="25" customWidth="1"/>
    <col min="9" max="9" width="12.85546875" style="25" customWidth="1"/>
    <col min="10" max="10" width="14.28515625" style="25" customWidth="1"/>
    <col min="11" max="22" width="4.7109375" style="25"/>
    <col min="23" max="23" width="20.7109375" style="25" customWidth="1"/>
    <col min="24" max="24" width="5.7109375" style="25" customWidth="1"/>
    <col min="25" max="25" width="20.7109375" style="25" customWidth="1"/>
    <col min="26" max="26" width="61.42578125" style="25" bestFit="1" customWidth="1"/>
    <col min="27" max="16384" width="4.7109375" style="25"/>
  </cols>
  <sheetData>
    <row r="1" spans="2:26" ht="18" customHeight="1" x14ac:dyDescent="0.25">
      <c r="W1" s="25" t="s">
        <v>237</v>
      </c>
      <c r="X1" s="25">
        <v>1</v>
      </c>
      <c r="Y1" s="25">
        <v>179138</v>
      </c>
      <c r="Z1" s="25" t="s">
        <v>238</v>
      </c>
    </row>
    <row r="2" spans="2:26" ht="18" customHeight="1" x14ac:dyDescent="0.25">
      <c r="W2" s="25" t="s">
        <v>235</v>
      </c>
      <c r="X2" s="25">
        <v>2</v>
      </c>
      <c r="Y2" s="25">
        <v>179141</v>
      </c>
      <c r="Z2" s="25" t="s">
        <v>240</v>
      </c>
    </row>
    <row r="3" spans="2:26" ht="18" customHeight="1" x14ac:dyDescent="0.25">
      <c r="W3" s="25" t="s">
        <v>236</v>
      </c>
      <c r="X3" s="25">
        <v>3</v>
      </c>
      <c r="Y3" s="25">
        <v>179151</v>
      </c>
      <c r="Z3" s="25" t="s">
        <v>241</v>
      </c>
    </row>
    <row r="4" spans="2:26" ht="18" customHeight="1" x14ac:dyDescent="0.25">
      <c r="X4" s="25">
        <v>4</v>
      </c>
      <c r="Y4" s="25">
        <v>179153</v>
      </c>
      <c r="Z4" s="25" t="s">
        <v>244</v>
      </c>
    </row>
    <row r="7" spans="2:26" ht="18" customHeight="1" x14ac:dyDescent="0.25">
      <c r="B7" s="31" t="s">
        <v>253</v>
      </c>
      <c r="F7" s="29"/>
      <c r="G7" s="29"/>
    </row>
    <row r="8" spans="2:26" ht="6" customHeight="1" x14ac:dyDescent="0.25">
      <c r="F8" s="29"/>
      <c r="G8" s="29"/>
    </row>
    <row r="9" spans="2:26" ht="18" customHeight="1" x14ac:dyDescent="0.25">
      <c r="C9" s="36" t="s">
        <v>146</v>
      </c>
      <c r="E9" s="37" t="s">
        <v>179</v>
      </c>
      <c r="F9" s="37"/>
      <c r="G9" s="37"/>
    </row>
    <row r="10" spans="2:26" ht="6" customHeight="1" x14ac:dyDescent="0.25">
      <c r="F10" s="29"/>
      <c r="G10" s="29"/>
      <c r="H10" s="29"/>
      <c r="I10" s="29"/>
      <c r="J10" s="29"/>
    </row>
    <row r="11" spans="2:26" ht="18" customHeight="1" x14ac:dyDescent="0.25">
      <c r="G11" s="29"/>
      <c r="H11" s="29"/>
      <c r="I11" s="35" t="s">
        <v>239</v>
      </c>
      <c r="J11" s="87">
        <f>SUM(J14:J23)</f>
        <v>18965.8</v>
      </c>
    </row>
    <row r="12" spans="2:26" ht="6" customHeight="1" x14ac:dyDescent="0.25">
      <c r="G12" s="29"/>
      <c r="H12" s="29"/>
      <c r="I12" s="29"/>
      <c r="J12" s="29"/>
    </row>
    <row r="13" spans="2:26" s="31" customFormat="1" ht="18" customHeight="1" thickBot="1" x14ac:dyDescent="0.3">
      <c r="D13" s="32" t="s">
        <v>228</v>
      </c>
      <c r="E13" s="32" t="s">
        <v>234</v>
      </c>
      <c r="F13" s="32" t="s">
        <v>229</v>
      </c>
      <c r="G13" s="32" t="s">
        <v>230</v>
      </c>
      <c r="H13" s="72" t="s">
        <v>231</v>
      </c>
      <c r="I13" s="72" t="s">
        <v>232</v>
      </c>
      <c r="J13" s="72" t="s">
        <v>233</v>
      </c>
      <c r="K13" s="72"/>
      <c r="L13" s="72"/>
    </row>
    <row r="14" spans="2:26" ht="18" customHeight="1" x14ac:dyDescent="0.25">
      <c r="D14" s="71">
        <v>1</v>
      </c>
      <c r="E14" s="25" t="s">
        <v>236</v>
      </c>
      <c r="F14" s="75">
        <v>179138</v>
      </c>
      <c r="G14" s="75" t="s">
        <v>238</v>
      </c>
      <c r="H14" s="25">
        <v>1</v>
      </c>
      <c r="I14" s="86">
        <v>1250</v>
      </c>
      <c r="J14" s="86">
        <f t="shared" ref="J14:J19" si="0">H14*I14</f>
        <v>1250</v>
      </c>
    </row>
    <row r="15" spans="2:26" ht="18" customHeight="1" x14ac:dyDescent="0.25">
      <c r="D15" s="73">
        <v>2</v>
      </c>
      <c r="E15" s="38" t="s">
        <v>236</v>
      </c>
      <c r="F15" s="63">
        <v>179141</v>
      </c>
      <c r="G15" s="38" t="s">
        <v>240</v>
      </c>
      <c r="H15" s="38">
        <v>1</v>
      </c>
      <c r="I15" s="88">
        <v>11440</v>
      </c>
      <c r="J15" s="88">
        <f t="shared" si="0"/>
        <v>11440</v>
      </c>
      <c r="K15" s="38"/>
      <c r="L15" s="38"/>
    </row>
    <row r="16" spans="2:26" ht="18" customHeight="1" x14ac:dyDescent="0.25">
      <c r="D16" s="70">
        <v>3</v>
      </c>
      <c r="E16" s="25" t="s">
        <v>236</v>
      </c>
      <c r="F16" s="61">
        <v>179151</v>
      </c>
      <c r="G16" s="25" t="s">
        <v>241</v>
      </c>
      <c r="H16" s="25">
        <v>1</v>
      </c>
      <c r="I16" s="86">
        <v>2500</v>
      </c>
      <c r="J16" s="86">
        <f t="shared" si="0"/>
        <v>2500</v>
      </c>
    </row>
    <row r="17" spans="4:13" ht="18" customHeight="1" x14ac:dyDescent="0.25">
      <c r="D17" s="73">
        <v>4</v>
      </c>
      <c r="E17" s="38" t="s">
        <v>235</v>
      </c>
      <c r="F17" s="63"/>
      <c r="G17" s="38" t="s">
        <v>242</v>
      </c>
      <c r="H17" s="38">
        <v>1</v>
      </c>
      <c r="I17" s="88">
        <v>158.4</v>
      </c>
      <c r="J17" s="88">
        <f t="shared" si="0"/>
        <v>158.4</v>
      </c>
      <c r="K17" s="38"/>
      <c r="L17" s="38"/>
    </row>
    <row r="18" spans="4:13" ht="18" customHeight="1" x14ac:dyDescent="0.25">
      <c r="D18" s="70">
        <v>5</v>
      </c>
      <c r="E18" s="25" t="s">
        <v>235</v>
      </c>
      <c r="F18" s="61"/>
      <c r="G18" s="25" t="s">
        <v>243</v>
      </c>
      <c r="H18" s="25">
        <v>3</v>
      </c>
      <c r="I18" s="86">
        <v>85.8</v>
      </c>
      <c r="J18" s="86">
        <f t="shared" si="0"/>
        <v>257.39999999999998</v>
      </c>
    </row>
    <row r="19" spans="4:13" ht="18" customHeight="1" x14ac:dyDescent="0.25">
      <c r="D19" s="73">
        <v>6</v>
      </c>
      <c r="E19" s="38" t="s">
        <v>236</v>
      </c>
      <c r="F19" s="63">
        <v>179153</v>
      </c>
      <c r="G19" s="38" t="s">
        <v>244</v>
      </c>
      <c r="H19" s="38">
        <v>1</v>
      </c>
      <c r="I19" s="88">
        <v>3360</v>
      </c>
      <c r="J19" s="88">
        <f t="shared" si="0"/>
        <v>3360</v>
      </c>
      <c r="K19" s="38"/>
      <c r="L19" s="38"/>
    </row>
    <row r="20" spans="4:13" ht="18" customHeight="1" x14ac:dyDescent="0.25">
      <c r="D20" s="70">
        <v>7</v>
      </c>
      <c r="F20" s="61"/>
      <c r="G20" s="25" t="str">
        <f>IFERROR(VLOOKUP(VLOOKUP(F20,X1:Y4,2,FALSE),Y1:Z4,2,FALSE),"")</f>
        <v/>
      </c>
    </row>
    <row r="21" spans="4:13" ht="18" customHeight="1" x14ac:dyDescent="0.25">
      <c r="F21" s="61"/>
    </row>
    <row r="22" spans="4:13" ht="24.95" customHeight="1" x14ac:dyDescent="0.25">
      <c r="F22" s="61"/>
      <c r="J22" s="103"/>
      <c r="K22" s="103"/>
      <c r="L22" s="103"/>
      <c r="M22" s="89"/>
    </row>
    <row r="23" spans="4:13" ht="18" customHeight="1" x14ac:dyDescent="0.25">
      <c r="F23" s="61"/>
      <c r="J23" s="156" t="s">
        <v>175</v>
      </c>
      <c r="K23" s="156"/>
      <c r="L23" s="156"/>
      <c r="M23" s="89"/>
    </row>
    <row r="24" spans="4:13" ht="18" customHeight="1" x14ac:dyDescent="0.25">
      <c r="J24" s="156"/>
      <c r="K24" s="156"/>
      <c r="L24" s="156"/>
    </row>
    <row r="25" spans="4:13" ht="18" customHeight="1" x14ac:dyDescent="0.25">
      <c r="J25" s="103"/>
      <c r="K25" s="103"/>
      <c r="L25" s="103"/>
    </row>
  </sheetData>
  <sortState ref="Y1:Y4">
    <sortCondition ref="Y1"/>
  </sortState>
  <mergeCells count="1">
    <mergeCell ref="J23:L24"/>
  </mergeCells>
  <hyperlinks>
    <hyperlink ref="C9" location="Orders!A1" display="Orders"/>
    <hyperlink ref="E9" location="'1014 - Bid Header'!A1" display="Header"/>
    <hyperlink ref="J23:L24" location="Orders!A1" display="Submit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Drop Down 1">
              <controlPr defaultSize="0" autoLine="0" autoPict="0">
                <anchor moveWithCells="1">
                  <from>
                    <xdr:col>3</xdr:col>
                    <xdr:colOff>485775</xdr:colOff>
                    <xdr:row>19</xdr:row>
                    <xdr:rowOff>28575</xdr:rowOff>
                  </from>
                  <to>
                    <xdr:col>4</xdr:col>
                    <xdr:colOff>1162050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Drop Down 2">
              <controlPr defaultSize="0" autoLine="0" autoPict="0">
                <anchor moveWithCells="1">
                  <from>
                    <xdr:col>5</xdr:col>
                    <xdr:colOff>28575</xdr:colOff>
                    <xdr:row>19</xdr:row>
                    <xdr:rowOff>28575</xdr:rowOff>
                  </from>
                  <to>
                    <xdr:col>6</xdr:col>
                    <xdr:colOff>9525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5" name="Button 5">
              <controlPr defaultSize="0" print="0" autoFill="0" autoPict="0" macro="[0]!Button_Add_Bid_Doc">
                <anchor moveWithCells="1" sizeWithCells="1">
                  <from>
                    <xdr:col>9</xdr:col>
                    <xdr:colOff>723900</xdr:colOff>
                    <xdr:row>20</xdr:row>
                    <xdr:rowOff>114300</xdr:rowOff>
                  </from>
                  <to>
                    <xdr:col>12</xdr:col>
                    <xdr:colOff>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utton_Add_PO_Doc">
                <anchor moveWithCells="1" sizeWithCells="1">
                  <from>
                    <xdr:col>8</xdr:col>
                    <xdr:colOff>600075</xdr:colOff>
                    <xdr:row>20</xdr:row>
                    <xdr:rowOff>114300</xdr:rowOff>
                  </from>
                  <to>
                    <xdr:col>9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BA17"/>
  <sheetViews>
    <sheetView showGridLines="0" zoomScaleNormal="100" workbookViewId="0">
      <selection activeCell="F9" sqref="F9"/>
    </sheetView>
  </sheetViews>
  <sheetFormatPr defaultColWidth="4.7109375" defaultRowHeight="18" customHeight="1" x14ac:dyDescent="0.25"/>
  <cols>
    <col min="1" max="8" width="4.7109375" style="11"/>
    <col min="9" max="9" width="11.28515625" style="11" bestFit="1" customWidth="1"/>
    <col min="10" max="44" width="4.7109375" style="11"/>
    <col min="45" max="53" width="20.7109375" style="11" customWidth="1"/>
    <col min="54" max="16384" width="4.7109375" style="11"/>
  </cols>
  <sheetData>
    <row r="1" spans="2:53" ht="18" customHeight="1" x14ac:dyDescent="0.25">
      <c r="AS1" s="11" t="s">
        <v>117</v>
      </c>
      <c r="AT1" s="11" t="s">
        <v>116</v>
      </c>
      <c r="AU1" s="11" t="s">
        <v>117</v>
      </c>
      <c r="AV1" s="11" t="s">
        <v>184</v>
      </c>
      <c r="AW1" s="11" t="s">
        <v>185</v>
      </c>
      <c r="AX1" s="11" t="s">
        <v>186</v>
      </c>
      <c r="AY1" s="11" t="s">
        <v>210</v>
      </c>
      <c r="AZ1" s="11" t="s">
        <v>188</v>
      </c>
      <c r="BA1" s="11" t="s">
        <v>129</v>
      </c>
    </row>
    <row r="2" spans="2:53" ht="18" customHeight="1" x14ac:dyDescent="0.25">
      <c r="AZ2" s="11" t="s">
        <v>189</v>
      </c>
      <c r="BA2" s="11" t="s">
        <v>130</v>
      </c>
    </row>
    <row r="3" spans="2:53" ht="18" customHeight="1" x14ac:dyDescent="0.25">
      <c r="AZ3" s="11" t="s">
        <v>190</v>
      </c>
      <c r="BA3" s="11" t="s">
        <v>131</v>
      </c>
    </row>
    <row r="4" spans="2:53" ht="18" customHeight="1" x14ac:dyDescent="0.25">
      <c r="BA4" s="11" t="s">
        <v>132</v>
      </c>
    </row>
    <row r="5" spans="2:53" ht="18" customHeight="1" x14ac:dyDescent="0.25">
      <c r="BA5" s="11" t="s">
        <v>194</v>
      </c>
    </row>
    <row r="6" spans="2:53" ht="18" customHeight="1" x14ac:dyDescent="0.25">
      <c r="BA6" s="11" t="s">
        <v>134</v>
      </c>
    </row>
    <row r="7" spans="2:53" ht="18" customHeight="1" x14ac:dyDescent="0.25">
      <c r="B7" s="31" t="s">
        <v>252</v>
      </c>
      <c r="C7" s="25"/>
      <c r="D7" s="25"/>
      <c r="E7" s="25"/>
      <c r="F7" s="25"/>
      <c r="BA7" s="11" t="s">
        <v>135</v>
      </c>
    </row>
    <row r="8" spans="2:53" ht="6" customHeight="1" x14ac:dyDescent="0.25">
      <c r="B8" s="25"/>
      <c r="C8" s="25"/>
      <c r="D8" s="25"/>
      <c r="E8" s="25"/>
      <c r="F8" s="25"/>
      <c r="BA8" s="11" t="s">
        <v>136</v>
      </c>
    </row>
    <row r="9" spans="2:53" s="25" customFormat="1" ht="18" customHeight="1" x14ac:dyDescent="0.25">
      <c r="C9" s="36" t="s">
        <v>146</v>
      </c>
      <c r="F9" s="37" t="s">
        <v>218</v>
      </c>
      <c r="I9" s="77"/>
      <c r="BA9" s="25" t="s">
        <v>137</v>
      </c>
    </row>
    <row r="10" spans="2:53" ht="18" customHeight="1" x14ac:dyDescent="0.25">
      <c r="B10" s="44"/>
      <c r="C10" s="44"/>
      <c r="D10" s="44"/>
      <c r="E10" s="44"/>
      <c r="F10" s="44"/>
      <c r="G10" s="44"/>
      <c r="H10" s="44"/>
      <c r="BA10" s="11" t="s">
        <v>138</v>
      </c>
    </row>
    <row r="11" spans="2:53" ht="18" customHeight="1" x14ac:dyDescent="0.25">
      <c r="B11" s="44"/>
      <c r="C11" s="44"/>
      <c r="D11" s="45" t="s">
        <v>219</v>
      </c>
      <c r="E11" s="44"/>
      <c r="F11" s="44"/>
      <c r="G11" s="44"/>
      <c r="I11" s="53">
        <v>1014</v>
      </c>
      <c r="J11" s="54"/>
      <c r="K11" s="54"/>
      <c r="L11" s="54"/>
      <c r="M11" s="54"/>
      <c r="N11" s="54"/>
      <c r="O11" s="55"/>
      <c r="BA11" s="11" t="s">
        <v>139</v>
      </c>
    </row>
    <row r="12" spans="2:53" ht="6" customHeight="1" x14ac:dyDescent="0.25">
      <c r="B12" s="44"/>
      <c r="C12" s="44"/>
      <c r="D12" s="45"/>
      <c r="E12" s="44"/>
      <c r="F12" s="44"/>
      <c r="G12" s="44"/>
      <c r="I12" s="47"/>
      <c r="J12" s="23"/>
      <c r="K12" s="23"/>
      <c r="L12" s="23"/>
      <c r="M12" s="23"/>
      <c r="N12" s="23"/>
      <c r="O12" s="23"/>
    </row>
    <row r="13" spans="2:53" ht="18" customHeight="1" x14ac:dyDescent="0.25">
      <c r="B13" s="44"/>
      <c r="C13" s="44"/>
      <c r="D13" s="45" t="s">
        <v>220</v>
      </c>
      <c r="E13" s="44"/>
      <c r="F13" s="44"/>
      <c r="G13" s="44"/>
      <c r="I13" s="157" t="s">
        <v>224</v>
      </c>
      <c r="J13" s="158"/>
      <c r="K13" s="158"/>
      <c r="L13" s="158"/>
      <c r="M13" s="158"/>
      <c r="N13" s="158"/>
      <c r="O13" s="159"/>
    </row>
    <row r="14" spans="2:53" ht="6" customHeight="1" x14ac:dyDescent="0.25">
      <c r="B14" s="44"/>
      <c r="C14" s="44"/>
      <c r="D14" s="45"/>
      <c r="E14" s="44"/>
      <c r="F14" s="44"/>
      <c r="G14" s="44"/>
      <c r="I14" s="44"/>
    </row>
    <row r="15" spans="2:53" ht="18" customHeight="1" x14ac:dyDescent="0.25">
      <c r="B15" s="44"/>
      <c r="C15" s="44"/>
      <c r="D15" s="45" t="s">
        <v>246</v>
      </c>
      <c r="E15" s="44"/>
      <c r="F15" s="44"/>
      <c r="G15" s="44"/>
      <c r="I15" s="160">
        <v>41758</v>
      </c>
      <c r="J15" s="161"/>
      <c r="K15" s="161"/>
      <c r="L15" s="161"/>
      <c r="M15" s="161"/>
      <c r="N15" s="161"/>
      <c r="O15" s="162"/>
    </row>
    <row r="16" spans="2:53" ht="6" customHeight="1" x14ac:dyDescent="0.25">
      <c r="B16" s="44"/>
      <c r="C16" s="44"/>
      <c r="D16" s="45"/>
      <c r="E16" s="44"/>
      <c r="F16" s="44"/>
      <c r="G16" s="44"/>
      <c r="I16" s="44"/>
    </row>
    <row r="17" spans="2:15" ht="18" customHeight="1" x14ac:dyDescent="0.25">
      <c r="B17" s="44"/>
      <c r="C17" s="44"/>
      <c r="D17" s="45" t="s">
        <v>245</v>
      </c>
      <c r="E17" s="44"/>
      <c r="F17" s="44"/>
      <c r="G17" s="44"/>
      <c r="I17" s="157">
        <v>0</v>
      </c>
      <c r="J17" s="158"/>
      <c r="K17" s="158"/>
      <c r="L17" s="158"/>
      <c r="M17" s="158"/>
      <c r="N17" s="158"/>
      <c r="O17" s="159"/>
    </row>
  </sheetData>
  <mergeCells count="3">
    <mergeCell ref="I13:O13"/>
    <mergeCell ref="I15:O15"/>
    <mergeCell ref="I17:O17"/>
  </mergeCells>
  <hyperlinks>
    <hyperlink ref="C9" location="Orders!A1" display="Orders"/>
    <hyperlink ref="F9" location="'1014 - Bid Details'!A1" display="Details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1:AC25"/>
  <sheetViews>
    <sheetView showGridLines="0" zoomScaleNormal="100" workbookViewId="0">
      <selection activeCell="E9" sqref="E9"/>
    </sheetView>
  </sheetViews>
  <sheetFormatPr defaultColWidth="4.7109375" defaultRowHeight="18" customHeight="1" x14ac:dyDescent="0.25"/>
  <cols>
    <col min="1" max="3" width="4.7109375" style="25"/>
    <col min="4" max="4" width="7.42578125" style="25" customWidth="1"/>
    <col min="5" max="5" width="17.5703125" style="25" customWidth="1"/>
    <col min="6" max="6" width="13" style="25" customWidth="1"/>
    <col min="7" max="8" width="13.7109375" style="25" customWidth="1"/>
    <col min="9" max="9" width="61.42578125" style="25" bestFit="1" customWidth="1"/>
    <col min="10" max="10" width="6.85546875" style="25" customWidth="1"/>
    <col min="11" max="11" width="12.85546875" style="25" customWidth="1"/>
    <col min="12" max="12" width="13.140625" style="25" customWidth="1"/>
    <col min="13" max="13" width="11.42578125" style="25" bestFit="1" customWidth="1"/>
    <col min="14" max="24" width="4.7109375" style="25"/>
    <col min="25" max="25" width="20.7109375" style="25" customWidth="1"/>
    <col min="26" max="26" width="5.7109375" style="25" customWidth="1"/>
    <col min="27" max="27" width="20.7109375" style="25" customWidth="1"/>
    <col min="28" max="28" width="61.42578125" style="25" bestFit="1" customWidth="1"/>
    <col min="29" max="29" width="20.7109375" style="25" customWidth="1"/>
    <col min="30" max="16384" width="4.7109375" style="25"/>
  </cols>
  <sheetData>
    <row r="1" spans="2:29" ht="18" customHeight="1" x14ac:dyDescent="0.25">
      <c r="Y1" s="25" t="s">
        <v>237</v>
      </c>
      <c r="Z1" s="25">
        <v>1</v>
      </c>
      <c r="AA1" s="25">
        <v>179138</v>
      </c>
      <c r="AB1" s="25" t="s">
        <v>238</v>
      </c>
      <c r="AC1" s="25">
        <v>315</v>
      </c>
    </row>
    <row r="2" spans="2:29" ht="18" customHeight="1" x14ac:dyDescent="0.25">
      <c r="Y2" s="25" t="s">
        <v>235</v>
      </c>
      <c r="Z2" s="25">
        <v>2</v>
      </c>
      <c r="AA2" s="25">
        <v>179141</v>
      </c>
      <c r="AB2" s="25" t="s">
        <v>240</v>
      </c>
      <c r="AC2" s="25">
        <v>330</v>
      </c>
    </row>
    <row r="3" spans="2:29" ht="18" customHeight="1" x14ac:dyDescent="0.25">
      <c r="Y3" s="25" t="s">
        <v>236</v>
      </c>
      <c r="Z3" s="25">
        <v>3</v>
      </c>
      <c r="AA3" s="25">
        <v>179151</v>
      </c>
      <c r="AB3" s="25" t="s">
        <v>241</v>
      </c>
    </row>
    <row r="4" spans="2:29" ht="18" customHeight="1" x14ac:dyDescent="0.25">
      <c r="Z4" s="25">
        <v>4</v>
      </c>
      <c r="AA4" s="25">
        <v>179153</v>
      </c>
      <c r="AB4" s="25" t="s">
        <v>244</v>
      </c>
    </row>
    <row r="7" spans="2:29" ht="18" customHeight="1" x14ac:dyDescent="0.25">
      <c r="B7" s="31" t="s">
        <v>250</v>
      </c>
      <c r="F7" s="29"/>
      <c r="G7" s="29"/>
      <c r="H7" s="29"/>
      <c r="I7" s="29"/>
    </row>
    <row r="8" spans="2:29" ht="6" customHeight="1" x14ac:dyDescent="0.25">
      <c r="F8" s="29"/>
      <c r="G8" s="29"/>
      <c r="H8" s="29"/>
      <c r="I8" s="29"/>
    </row>
    <row r="9" spans="2:29" ht="18" customHeight="1" x14ac:dyDescent="0.25">
      <c r="C9" s="36" t="s">
        <v>146</v>
      </c>
      <c r="E9" s="37" t="s">
        <v>179</v>
      </c>
      <c r="F9" s="37"/>
      <c r="G9" s="37"/>
      <c r="H9" s="37"/>
      <c r="I9" s="37"/>
    </row>
    <row r="10" spans="2:29" ht="6" customHeight="1" x14ac:dyDescent="0.25">
      <c r="F10" s="29"/>
      <c r="G10" s="29"/>
      <c r="H10" s="29"/>
      <c r="I10" s="29"/>
      <c r="J10" s="29"/>
      <c r="K10" s="29"/>
      <c r="L10" s="29"/>
    </row>
    <row r="11" spans="2:29" ht="18" customHeight="1" x14ac:dyDescent="0.25">
      <c r="I11" s="29"/>
      <c r="J11" s="29"/>
      <c r="K11" s="35" t="s">
        <v>239</v>
      </c>
      <c r="L11" s="87">
        <f>SUM(L14:L22)</f>
        <v>18965.8</v>
      </c>
    </row>
    <row r="12" spans="2:29" ht="6" customHeight="1" x14ac:dyDescent="0.25">
      <c r="I12" s="29"/>
      <c r="J12" s="29"/>
      <c r="K12" s="29"/>
      <c r="L12" s="29"/>
    </row>
    <row r="13" spans="2:29" s="98" customFormat="1" ht="32.25" thickBot="1" x14ac:dyDescent="0.3">
      <c r="D13" s="102" t="s">
        <v>228</v>
      </c>
      <c r="E13" s="99" t="s">
        <v>234</v>
      </c>
      <c r="F13" s="102" t="s">
        <v>229</v>
      </c>
      <c r="G13" s="102" t="s">
        <v>248</v>
      </c>
      <c r="H13" s="101" t="s">
        <v>249</v>
      </c>
      <c r="I13" s="99" t="s">
        <v>230</v>
      </c>
      <c r="J13" s="101" t="s">
        <v>231</v>
      </c>
      <c r="K13" s="100" t="s">
        <v>232</v>
      </c>
      <c r="L13" s="100" t="s">
        <v>233</v>
      </c>
      <c r="M13" s="100"/>
      <c r="N13" s="25"/>
    </row>
    <row r="14" spans="2:29" ht="18" customHeight="1" x14ac:dyDescent="0.25">
      <c r="D14" s="92">
        <v>1</v>
      </c>
      <c r="E14" s="25" t="s">
        <v>236</v>
      </c>
      <c r="F14" s="93">
        <v>179138</v>
      </c>
      <c r="G14" s="93">
        <v>315</v>
      </c>
      <c r="H14" s="93"/>
      <c r="I14" s="75" t="s">
        <v>238</v>
      </c>
      <c r="J14" s="97">
        <v>1</v>
      </c>
      <c r="K14" s="86">
        <v>1250</v>
      </c>
      <c r="L14" s="86">
        <f t="shared" ref="L14:L19" si="0">J14*K14</f>
        <v>1250</v>
      </c>
    </row>
    <row r="15" spans="2:29" ht="18" customHeight="1" x14ac:dyDescent="0.25">
      <c r="D15" s="96">
        <v>2</v>
      </c>
      <c r="E15" s="38" t="s">
        <v>236</v>
      </c>
      <c r="F15" s="96">
        <v>179141</v>
      </c>
      <c r="G15" s="96">
        <v>315</v>
      </c>
      <c r="H15" s="96"/>
      <c r="I15" s="38" t="s">
        <v>240</v>
      </c>
      <c r="J15" s="96">
        <v>1</v>
      </c>
      <c r="K15" s="88">
        <v>11440</v>
      </c>
      <c r="L15" s="88">
        <f t="shared" si="0"/>
        <v>11440</v>
      </c>
      <c r="M15" s="38"/>
    </row>
    <row r="16" spans="2:29" ht="18" customHeight="1" x14ac:dyDescent="0.25">
      <c r="D16" s="97">
        <v>3</v>
      </c>
      <c r="E16" s="25" t="s">
        <v>236</v>
      </c>
      <c r="F16" s="97">
        <v>179151</v>
      </c>
      <c r="G16" s="97">
        <v>315</v>
      </c>
      <c r="H16" s="97"/>
      <c r="I16" s="25" t="s">
        <v>241</v>
      </c>
      <c r="J16" s="97">
        <v>1</v>
      </c>
      <c r="K16" s="86">
        <v>2500</v>
      </c>
      <c r="L16" s="86">
        <f t="shared" si="0"/>
        <v>2500</v>
      </c>
    </row>
    <row r="17" spans="4:15" ht="18" customHeight="1" x14ac:dyDescent="0.25">
      <c r="D17" s="96">
        <v>4</v>
      </c>
      <c r="E17" s="38" t="s">
        <v>235</v>
      </c>
      <c r="F17" s="96"/>
      <c r="G17" s="96">
        <v>315</v>
      </c>
      <c r="H17" s="96"/>
      <c r="I17" s="38" t="s">
        <v>242</v>
      </c>
      <c r="J17" s="96">
        <v>1</v>
      </c>
      <c r="K17" s="88">
        <v>158.4</v>
      </c>
      <c r="L17" s="88">
        <f t="shared" si="0"/>
        <v>158.4</v>
      </c>
      <c r="M17" s="38"/>
    </row>
    <row r="18" spans="4:15" ht="18" customHeight="1" x14ac:dyDescent="0.25">
      <c r="D18" s="97">
        <v>5</v>
      </c>
      <c r="E18" s="25" t="s">
        <v>235</v>
      </c>
      <c r="F18" s="97"/>
      <c r="G18" s="97">
        <v>315</v>
      </c>
      <c r="H18" s="97"/>
      <c r="I18" s="25" t="s">
        <v>243</v>
      </c>
      <c r="J18" s="97">
        <v>3</v>
      </c>
      <c r="K18" s="86">
        <v>85.8</v>
      </c>
      <c r="L18" s="86">
        <f t="shared" si="0"/>
        <v>257.39999999999998</v>
      </c>
    </row>
    <row r="19" spans="4:15" ht="18" customHeight="1" x14ac:dyDescent="0.25">
      <c r="D19" s="96">
        <v>6</v>
      </c>
      <c r="E19" s="38" t="s">
        <v>236</v>
      </c>
      <c r="F19" s="96">
        <v>179153</v>
      </c>
      <c r="G19" s="96">
        <v>330</v>
      </c>
      <c r="H19" s="96"/>
      <c r="I19" s="38" t="s">
        <v>244</v>
      </c>
      <c r="J19" s="96">
        <v>1</v>
      </c>
      <c r="K19" s="88">
        <v>3360</v>
      </c>
      <c r="L19" s="88">
        <f t="shared" si="0"/>
        <v>3360</v>
      </c>
      <c r="M19" s="38"/>
    </row>
    <row r="20" spans="4:15" ht="18" customHeight="1" x14ac:dyDescent="0.25">
      <c r="D20" s="97">
        <v>7</v>
      </c>
      <c r="F20" s="61"/>
      <c r="G20" s="61"/>
      <c r="H20" s="61"/>
      <c r="I20" s="25" t="str">
        <f>IFERROR(VLOOKUP(VLOOKUP(F20,Z1:AA4,2,FALSE),AA1:AB4,2,FALSE),"")</f>
        <v/>
      </c>
      <c r="M20" s="97"/>
    </row>
    <row r="21" spans="4:15" ht="18" customHeight="1" x14ac:dyDescent="0.25">
      <c r="F21" s="61"/>
      <c r="G21" s="61"/>
      <c r="H21" s="61"/>
    </row>
    <row r="22" spans="4:15" ht="24.95" customHeight="1" x14ac:dyDescent="0.25">
      <c r="F22" s="61"/>
      <c r="G22" s="61"/>
      <c r="H22" s="61"/>
      <c r="M22" s="69"/>
      <c r="N22" s="103"/>
      <c r="O22" s="103"/>
    </row>
    <row r="23" spans="4:15" ht="18" customHeight="1" x14ac:dyDescent="0.25">
      <c r="F23" s="61"/>
      <c r="G23" s="61"/>
      <c r="H23" s="61"/>
      <c r="L23" s="156" t="s">
        <v>175</v>
      </c>
      <c r="M23" s="156"/>
      <c r="O23" s="103"/>
    </row>
    <row r="24" spans="4:15" ht="18" customHeight="1" x14ac:dyDescent="0.25">
      <c r="L24" s="156"/>
      <c r="M24" s="156"/>
      <c r="O24" s="103"/>
    </row>
    <row r="25" spans="4:15" ht="18" customHeight="1" x14ac:dyDescent="0.25">
      <c r="M25" s="69"/>
      <c r="N25" s="103"/>
      <c r="O25" s="103"/>
    </row>
  </sheetData>
  <mergeCells count="1">
    <mergeCell ref="L23:M24"/>
  </mergeCells>
  <hyperlinks>
    <hyperlink ref="C9" location="Orders!A1" display="Orders"/>
    <hyperlink ref="E9" location="'1014 - PO Header'!A1" display="Header"/>
    <hyperlink ref="L23:M24" location="Orders!A1" display="Submit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Drop Down 1">
              <controlPr defaultSize="0" autoLine="0" autoPict="0">
                <anchor moveWithCells="1">
                  <from>
                    <xdr:col>3</xdr:col>
                    <xdr:colOff>485775</xdr:colOff>
                    <xdr:row>19</xdr:row>
                    <xdr:rowOff>28575</xdr:rowOff>
                  </from>
                  <to>
                    <xdr:col>4</xdr:col>
                    <xdr:colOff>1162050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Drop Down 2">
              <controlPr defaultSize="0" autoLine="0" autoPict="0">
                <anchor moveWithCells="1">
                  <from>
                    <xdr:col>5</xdr:col>
                    <xdr:colOff>28575</xdr:colOff>
                    <xdr:row>19</xdr:row>
                    <xdr:rowOff>28575</xdr:rowOff>
                  </from>
                  <to>
                    <xdr:col>5</xdr:col>
                    <xdr:colOff>800100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Drop Down 5">
              <controlPr defaultSize="0" autoLine="0" autoPict="0">
                <anchor moveWithCells="1">
                  <from>
                    <xdr:col>6</xdr:col>
                    <xdr:colOff>0</xdr:colOff>
                    <xdr:row>19</xdr:row>
                    <xdr:rowOff>28575</xdr:rowOff>
                  </from>
                  <to>
                    <xdr:col>6</xdr:col>
                    <xdr:colOff>904875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6" name="Button 6">
              <controlPr defaultSize="0" print="0" autoFill="0" autoPict="0" macro="[0]!Button_Add_Bid_Doc">
                <anchor moveWithCells="1" sizeWithCells="1">
                  <from>
                    <xdr:col>11</xdr:col>
                    <xdr:colOff>771525</xdr:colOff>
                    <xdr:row>20</xdr:row>
                    <xdr:rowOff>123825</xdr:rowOff>
                  </from>
                  <to>
                    <xdr:col>12</xdr:col>
                    <xdr:colOff>752475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7" name="Button 7">
              <controlPr defaultSize="0" print="0" autoFill="0" autoPict="0" macro="[0]!Button_Add_PO_Doc">
                <anchor moveWithCells="1" sizeWithCells="1">
                  <from>
                    <xdr:col>10</xdr:col>
                    <xdr:colOff>647700</xdr:colOff>
                    <xdr:row>20</xdr:row>
                    <xdr:rowOff>123825</xdr:rowOff>
                  </from>
                  <to>
                    <xdr:col>11</xdr:col>
                    <xdr:colOff>647700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BA26"/>
  <sheetViews>
    <sheetView showGridLines="0" zoomScaleNormal="100" workbookViewId="0">
      <selection activeCell="C9" sqref="C9"/>
    </sheetView>
  </sheetViews>
  <sheetFormatPr defaultColWidth="4.7109375" defaultRowHeight="18" customHeight="1" x14ac:dyDescent="0.25"/>
  <cols>
    <col min="1" max="8" width="4.7109375" style="11"/>
    <col min="9" max="9" width="11.28515625" style="11" bestFit="1" customWidth="1"/>
    <col min="10" max="44" width="4.7109375" style="11"/>
    <col min="45" max="53" width="20.7109375" style="11" customWidth="1"/>
    <col min="54" max="16384" width="4.7109375" style="11"/>
  </cols>
  <sheetData>
    <row r="1" spans="2:53" ht="18" customHeight="1" x14ac:dyDescent="0.25">
      <c r="AS1" s="11" t="s">
        <v>117</v>
      </c>
      <c r="AT1" s="11" t="s">
        <v>116</v>
      </c>
      <c r="AU1" s="11" t="s">
        <v>117</v>
      </c>
      <c r="AV1" s="11" t="s">
        <v>184</v>
      </c>
      <c r="AW1" s="11" t="s">
        <v>185</v>
      </c>
      <c r="AX1" s="11" t="s">
        <v>186</v>
      </c>
      <c r="AY1" s="11" t="s">
        <v>210</v>
      </c>
      <c r="AZ1" s="11" t="s">
        <v>188</v>
      </c>
      <c r="BA1" s="11" t="s">
        <v>129</v>
      </c>
    </row>
    <row r="2" spans="2:53" ht="18" customHeight="1" x14ac:dyDescent="0.25">
      <c r="AZ2" s="11" t="s">
        <v>189</v>
      </c>
      <c r="BA2" s="11" t="s">
        <v>130</v>
      </c>
    </row>
    <row r="3" spans="2:53" ht="18" customHeight="1" x14ac:dyDescent="0.25">
      <c r="AZ3" s="11" t="s">
        <v>190</v>
      </c>
      <c r="BA3" s="11" t="s">
        <v>131</v>
      </c>
    </row>
    <row r="4" spans="2:53" ht="18" customHeight="1" x14ac:dyDescent="0.25">
      <c r="BA4" s="11" t="s">
        <v>132</v>
      </c>
    </row>
    <row r="5" spans="2:53" ht="18" customHeight="1" x14ac:dyDescent="0.25">
      <c r="BA5" s="11" t="s">
        <v>194</v>
      </c>
    </row>
    <row r="6" spans="2:53" ht="18" customHeight="1" x14ac:dyDescent="0.25">
      <c r="BA6" s="11" t="s">
        <v>134</v>
      </c>
    </row>
    <row r="7" spans="2:53" ht="18" customHeight="1" x14ac:dyDescent="0.25">
      <c r="B7" s="31" t="s">
        <v>251</v>
      </c>
      <c r="C7" s="25"/>
      <c r="D7" s="25"/>
      <c r="E7" s="25"/>
      <c r="F7" s="25"/>
      <c r="BA7" s="11" t="s">
        <v>135</v>
      </c>
    </row>
    <row r="8" spans="2:53" ht="6" customHeight="1" x14ac:dyDescent="0.25">
      <c r="B8" s="25"/>
      <c r="C8" s="25"/>
      <c r="D8" s="25"/>
      <c r="E8" s="25"/>
      <c r="F8" s="25"/>
      <c r="BA8" s="11" t="s">
        <v>136</v>
      </c>
    </row>
    <row r="9" spans="2:53" s="25" customFormat="1" ht="18" customHeight="1" x14ac:dyDescent="0.25">
      <c r="C9" s="36" t="s">
        <v>146</v>
      </c>
      <c r="F9" s="37" t="s">
        <v>218</v>
      </c>
      <c r="I9" s="77"/>
      <c r="BA9" s="25" t="s">
        <v>137</v>
      </c>
    </row>
    <row r="10" spans="2:53" ht="18" customHeight="1" x14ac:dyDescent="0.25">
      <c r="B10" s="44"/>
      <c r="C10" s="44"/>
      <c r="D10" s="44"/>
      <c r="E10" s="44"/>
      <c r="F10" s="44"/>
      <c r="G10" s="44"/>
      <c r="H10" s="44"/>
      <c r="BA10" s="11" t="s">
        <v>138</v>
      </c>
    </row>
    <row r="11" spans="2:53" ht="18" customHeight="1" x14ac:dyDescent="0.25">
      <c r="B11" s="44"/>
      <c r="C11" s="44"/>
      <c r="D11" s="45" t="s">
        <v>219</v>
      </c>
      <c r="E11" s="44"/>
      <c r="F11" s="44"/>
      <c r="G11" s="44"/>
      <c r="I11" s="53">
        <v>1014</v>
      </c>
      <c r="J11" s="54"/>
      <c r="K11" s="54"/>
      <c r="L11" s="54"/>
      <c r="M11" s="54"/>
      <c r="N11" s="54"/>
      <c r="O11" s="55"/>
      <c r="BA11" s="11" t="s">
        <v>139</v>
      </c>
    </row>
    <row r="12" spans="2:53" ht="6" customHeight="1" x14ac:dyDescent="0.25">
      <c r="B12" s="44"/>
      <c r="C12" s="44"/>
      <c r="D12" s="45"/>
      <c r="E12" s="44"/>
      <c r="F12" s="44"/>
      <c r="G12" s="44"/>
      <c r="I12" s="47"/>
      <c r="J12" s="23"/>
      <c r="K12" s="23"/>
      <c r="L12" s="23"/>
      <c r="M12" s="23"/>
      <c r="N12" s="23"/>
      <c r="O12" s="23"/>
    </row>
    <row r="13" spans="2:53" ht="18" customHeight="1" x14ac:dyDescent="0.25">
      <c r="B13" s="44"/>
      <c r="C13" s="44"/>
      <c r="D13" s="45" t="s">
        <v>220</v>
      </c>
      <c r="E13" s="44"/>
      <c r="F13" s="44"/>
      <c r="G13" s="44"/>
      <c r="I13" s="157" t="s">
        <v>227</v>
      </c>
      <c r="J13" s="158"/>
      <c r="K13" s="158"/>
      <c r="L13" s="158"/>
      <c r="M13" s="158"/>
      <c r="N13" s="158"/>
      <c r="O13" s="159"/>
    </row>
    <row r="14" spans="2:53" ht="6" customHeight="1" x14ac:dyDescent="0.25">
      <c r="B14" s="44"/>
      <c r="C14" s="44"/>
      <c r="D14" s="45"/>
      <c r="E14" s="44"/>
      <c r="F14" s="44"/>
      <c r="G14" s="44"/>
      <c r="I14" s="44"/>
    </row>
    <row r="15" spans="2:53" ht="18" customHeight="1" x14ac:dyDescent="0.25">
      <c r="B15" s="44"/>
      <c r="C15" s="44"/>
      <c r="D15" s="45" t="s">
        <v>246</v>
      </c>
      <c r="E15" s="44"/>
      <c r="F15" s="44"/>
      <c r="G15" s="44"/>
      <c r="I15" s="160">
        <v>41769</v>
      </c>
      <c r="J15" s="161"/>
      <c r="K15" s="161"/>
      <c r="L15" s="161"/>
      <c r="M15" s="161"/>
      <c r="N15" s="161"/>
      <c r="O15" s="162"/>
    </row>
    <row r="16" spans="2:53" ht="6" customHeight="1" x14ac:dyDescent="0.25">
      <c r="B16" s="44"/>
      <c r="C16" s="44"/>
      <c r="D16" s="45"/>
      <c r="E16" s="44"/>
      <c r="F16" s="44"/>
      <c r="G16" s="44"/>
      <c r="I16" s="44"/>
    </row>
    <row r="17" spans="2:15" ht="18" customHeight="1" x14ac:dyDescent="0.25">
      <c r="B17" s="44"/>
      <c r="C17" s="44"/>
      <c r="D17" s="45" t="s">
        <v>245</v>
      </c>
      <c r="E17" s="44"/>
      <c r="F17" s="44"/>
      <c r="G17" s="44"/>
      <c r="I17" s="157">
        <v>0</v>
      </c>
      <c r="J17" s="158"/>
      <c r="K17" s="158"/>
      <c r="L17" s="158"/>
      <c r="M17" s="158"/>
      <c r="N17" s="158"/>
      <c r="O17" s="159"/>
    </row>
    <row r="18" spans="2:15" ht="6" customHeight="1" x14ac:dyDescent="0.25">
      <c r="B18" s="44"/>
      <c r="C18" s="44"/>
      <c r="D18" s="45"/>
      <c r="E18" s="44"/>
      <c r="F18" s="44"/>
      <c r="G18" s="44"/>
      <c r="I18" s="44"/>
    </row>
    <row r="19" spans="2:15" ht="18" customHeight="1" x14ac:dyDescent="0.25">
      <c r="B19" s="44"/>
      <c r="C19" s="44"/>
      <c r="D19" s="45" t="s">
        <v>215</v>
      </c>
      <c r="E19" s="44"/>
      <c r="F19" s="44"/>
      <c r="G19" s="44"/>
      <c r="I19" s="91" t="s">
        <v>217</v>
      </c>
      <c r="J19" s="21"/>
      <c r="K19" s="21"/>
      <c r="L19" s="21"/>
      <c r="M19" s="21"/>
      <c r="N19" s="21"/>
      <c r="O19" s="22"/>
    </row>
    <row r="20" spans="2:15" ht="6" customHeight="1" x14ac:dyDescent="0.25">
      <c r="B20" s="44"/>
      <c r="C20" s="44"/>
      <c r="D20" s="45"/>
      <c r="E20" s="44"/>
      <c r="F20" s="44"/>
      <c r="G20" s="44"/>
      <c r="I20" s="52"/>
      <c r="J20" s="23"/>
      <c r="K20" s="23"/>
      <c r="L20" s="23"/>
      <c r="M20" s="23"/>
      <c r="N20" s="23"/>
      <c r="O20" s="23"/>
    </row>
    <row r="21" spans="2:15" ht="18" customHeight="1" x14ac:dyDescent="0.25">
      <c r="B21" s="44"/>
      <c r="C21" s="44"/>
      <c r="D21" s="45" t="s">
        <v>216</v>
      </c>
      <c r="E21" s="44"/>
      <c r="F21" s="44"/>
      <c r="G21" s="44"/>
      <c r="I21" s="163">
        <v>41768</v>
      </c>
      <c r="J21" s="164"/>
      <c r="K21" s="164"/>
      <c r="L21" s="164"/>
      <c r="M21" s="164"/>
      <c r="N21" s="164"/>
      <c r="O21" s="165"/>
    </row>
    <row r="22" spans="2:15" ht="6" customHeight="1" x14ac:dyDescent="0.25"/>
    <row r="23" spans="2:15" ht="18" customHeight="1" x14ac:dyDescent="0.25">
      <c r="D23" s="46" t="s">
        <v>247</v>
      </c>
      <c r="I23" s="48">
        <v>0</v>
      </c>
      <c r="J23" s="21"/>
      <c r="K23" s="21"/>
      <c r="L23" s="21"/>
      <c r="M23" s="21"/>
      <c r="N23" s="21"/>
      <c r="O23" s="22"/>
    </row>
    <row r="24" spans="2:15" ht="18" customHeight="1" x14ac:dyDescent="0.25">
      <c r="I24" s="52"/>
      <c r="J24" s="23"/>
      <c r="K24" s="23"/>
      <c r="L24" s="23"/>
      <c r="M24" s="23"/>
      <c r="N24" s="23"/>
      <c r="O24" s="23"/>
    </row>
    <row r="25" spans="2:15" ht="18" customHeight="1" x14ac:dyDescent="0.25">
      <c r="H25" s="51"/>
      <c r="I25" s="51"/>
      <c r="L25" s="143" t="s">
        <v>175</v>
      </c>
      <c r="M25" s="143"/>
      <c r="N25" s="143"/>
      <c r="O25" s="143"/>
    </row>
    <row r="26" spans="2:15" ht="18" customHeight="1" x14ac:dyDescent="0.25">
      <c r="L26" s="143"/>
      <c r="M26" s="143"/>
      <c r="N26" s="143"/>
      <c r="O26" s="143"/>
    </row>
  </sheetData>
  <mergeCells count="5">
    <mergeCell ref="I13:O13"/>
    <mergeCell ref="I15:O15"/>
    <mergeCell ref="I17:O17"/>
    <mergeCell ref="L25:O26"/>
    <mergeCell ref="I21:O21"/>
  </mergeCells>
  <hyperlinks>
    <hyperlink ref="L25:O26" location="'1014 - PO Details'!A1" display="Submit"/>
    <hyperlink ref="C9" location="Orders!A1" display="Orders"/>
    <hyperlink ref="F9" location="'1014 - Bid Details'!A1" display="Details"/>
  </hyperlinks>
  <pageMargins left="0.7" right="0.7" top="0.75" bottom="0.75" header="0.3" footer="0.3"/>
  <ignoredErrors>
    <ignoredError sqref="I19" numberStoredAsText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7:X17"/>
  <sheetViews>
    <sheetView showGridLines="0" zoomScaleNormal="100" workbookViewId="0">
      <selection activeCell="F9" sqref="F9"/>
    </sheetView>
  </sheetViews>
  <sheetFormatPr defaultColWidth="4.7109375" defaultRowHeight="18" customHeight="1" x14ac:dyDescent="0.25"/>
  <cols>
    <col min="1" max="3" width="4.7109375" style="25"/>
    <col min="4" max="4" width="5.7109375" style="25" customWidth="1"/>
    <col min="5" max="5" width="19" style="25" customWidth="1"/>
    <col min="6" max="6" width="4.7109375" style="25"/>
    <col min="7" max="7" width="7.28515625" style="25" customWidth="1"/>
    <col min="8" max="17" width="4.7109375" style="25"/>
    <col min="18" max="18" width="10.140625" style="25" bestFit="1" customWidth="1"/>
    <col min="19" max="16384" width="4.7109375" style="25"/>
  </cols>
  <sheetData>
    <row r="7" spans="2:24" ht="18" customHeight="1" x14ac:dyDescent="0.25">
      <c r="B7" s="31" t="s">
        <v>195</v>
      </c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2:24" ht="6" customHeight="1" x14ac:dyDescent="0.25"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2:24" ht="18" customHeight="1" x14ac:dyDescent="0.25">
      <c r="C9" s="37" t="s">
        <v>145</v>
      </c>
      <c r="E9" s="77" t="s">
        <v>179</v>
      </c>
      <c r="F9" s="37" t="s">
        <v>181</v>
      </c>
      <c r="G9" s="29"/>
      <c r="I9" s="36" t="s">
        <v>146</v>
      </c>
      <c r="K9" s="29"/>
      <c r="M9" s="29"/>
      <c r="P9" s="29"/>
      <c r="Q9" s="29"/>
      <c r="R9" s="29"/>
      <c r="S9" s="29"/>
    </row>
    <row r="10" spans="2:24" ht="18" customHeight="1" x14ac:dyDescent="0.25"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</row>
    <row r="11" spans="2:24" s="31" customFormat="1" ht="18" customHeight="1" thickBot="1" x14ac:dyDescent="0.3">
      <c r="D11" s="94" t="s">
        <v>191</v>
      </c>
      <c r="E11" s="95" t="s">
        <v>192</v>
      </c>
      <c r="F11" s="95" t="s">
        <v>226</v>
      </c>
      <c r="G11" s="32"/>
      <c r="H11" s="32" t="s">
        <v>225</v>
      </c>
      <c r="I11" s="95"/>
      <c r="J11" s="32"/>
      <c r="K11" s="32"/>
      <c r="L11" s="95"/>
      <c r="M11" s="34"/>
      <c r="N11" s="95"/>
      <c r="O11" s="95"/>
      <c r="P11" s="95"/>
      <c r="Q11" s="95"/>
      <c r="R11" s="147" t="s">
        <v>197</v>
      </c>
      <c r="S11" s="147"/>
      <c r="T11" s="147" t="s">
        <v>198</v>
      </c>
      <c r="U11" s="147"/>
      <c r="V11" s="95"/>
      <c r="W11" s="95"/>
    </row>
    <row r="12" spans="2:24" ht="18" customHeight="1" x14ac:dyDescent="0.25">
      <c r="D12" s="92">
        <v>125</v>
      </c>
      <c r="E12" s="74" t="s">
        <v>1</v>
      </c>
      <c r="F12" s="74" t="s">
        <v>203</v>
      </c>
      <c r="H12" s="37" t="s">
        <v>199</v>
      </c>
      <c r="I12" s="36"/>
      <c r="J12" s="29"/>
      <c r="L12" s="29"/>
      <c r="M12" s="29"/>
      <c r="N12" s="29"/>
      <c r="O12" s="29"/>
      <c r="R12" s="151">
        <v>41758</v>
      </c>
      <c r="S12" s="151"/>
      <c r="T12" s="144" t="s">
        <v>202</v>
      </c>
      <c r="U12" s="144"/>
      <c r="V12" s="68"/>
      <c r="W12" s="69"/>
    </row>
    <row r="13" spans="2:24" ht="18" customHeight="1" x14ac:dyDescent="0.25">
      <c r="D13" s="96">
        <v>125</v>
      </c>
      <c r="E13" s="38" t="s">
        <v>1</v>
      </c>
      <c r="F13" s="38" t="s">
        <v>204</v>
      </c>
      <c r="G13" s="38"/>
      <c r="H13" s="39" t="s">
        <v>200</v>
      </c>
      <c r="I13" s="39"/>
      <c r="J13" s="40"/>
      <c r="K13" s="38"/>
      <c r="L13" s="40"/>
      <c r="M13" s="42"/>
      <c r="N13" s="42"/>
      <c r="O13" s="40"/>
      <c r="P13" s="38"/>
      <c r="Q13" s="40"/>
      <c r="R13" s="152">
        <v>41758</v>
      </c>
      <c r="S13" s="152"/>
      <c r="T13" s="145" t="s">
        <v>202</v>
      </c>
      <c r="U13" s="145"/>
      <c r="V13" s="40"/>
      <c r="W13" s="40"/>
    </row>
    <row r="14" spans="2:24" ht="18" customHeight="1" x14ac:dyDescent="0.25">
      <c r="D14" s="97">
        <v>125</v>
      </c>
      <c r="E14" s="25" t="s">
        <v>1</v>
      </c>
      <c r="F14" s="25" t="s">
        <v>45</v>
      </c>
      <c r="H14" s="36" t="s">
        <v>201</v>
      </c>
      <c r="I14" s="36"/>
      <c r="J14" s="29"/>
      <c r="L14" s="29"/>
      <c r="M14" s="30"/>
      <c r="N14" s="30"/>
      <c r="O14" s="29"/>
      <c r="Q14" s="29"/>
      <c r="R14" s="153">
        <v>41758</v>
      </c>
      <c r="S14" s="153"/>
      <c r="T14" s="146" t="s">
        <v>202</v>
      </c>
      <c r="U14" s="146"/>
      <c r="V14" s="29"/>
      <c r="W14" s="29"/>
      <c r="X14" s="29"/>
    </row>
    <row r="15" spans="2:24" ht="18" customHeight="1" x14ac:dyDescent="0.25">
      <c r="V15" s="69"/>
      <c r="W15" s="69"/>
    </row>
    <row r="16" spans="2:24" ht="18" customHeight="1" x14ac:dyDescent="0.25">
      <c r="T16" s="142" t="s">
        <v>205</v>
      </c>
      <c r="U16" s="142"/>
      <c r="V16" s="142"/>
      <c r="W16" s="142"/>
    </row>
    <row r="17" spans="20:23" ht="18" customHeight="1" x14ac:dyDescent="0.25">
      <c r="T17" s="142"/>
      <c r="U17" s="142"/>
      <c r="V17" s="142"/>
      <c r="W17" s="142"/>
    </row>
  </sheetData>
  <mergeCells count="9">
    <mergeCell ref="R11:S11"/>
    <mergeCell ref="T11:U11"/>
    <mergeCell ref="R12:S12"/>
    <mergeCell ref="T12:U12"/>
    <mergeCell ref="T16:W17"/>
    <mergeCell ref="R13:S13"/>
    <mergeCell ref="T13:U13"/>
    <mergeCell ref="R14:S14"/>
    <mergeCell ref="T14:U14"/>
  </mergeCells>
  <hyperlinks>
    <hyperlink ref="C9" location="Projects!A1" display="Projects"/>
    <hyperlink ref="E9" location="'SP-MOD-003-WA - Header'!A1" display="Header"/>
    <hyperlink ref="F9" location="'SP-MOD-003-WA - Milestones'!A1" display="Milestones"/>
    <hyperlink ref="I9" location="Orders!A1" display="Orders"/>
    <hyperlink ref="H12" r:id="rId1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6"/>
  <sheetViews>
    <sheetView tabSelected="1" zoomScale="80" zoomScaleNormal="80" workbookViewId="0">
      <pane ySplit="6" topLeftCell="A7" activePane="bottomLeft" state="frozen"/>
      <selection activeCell="G41" sqref="G41"/>
      <selection pane="bottomLeft" activeCell="F16" sqref="F16"/>
    </sheetView>
  </sheetViews>
  <sheetFormatPr defaultRowHeight="15" x14ac:dyDescent="0.25"/>
  <cols>
    <col min="1" max="1" width="10" style="3" customWidth="1"/>
    <col min="2" max="2" width="20.42578125" style="3" customWidth="1"/>
    <col min="3" max="3" width="63.42578125" style="4" bestFit="1" customWidth="1"/>
    <col min="4" max="4" width="11.7109375" style="3" customWidth="1"/>
    <col min="5" max="5" width="15.7109375" style="3" customWidth="1"/>
    <col min="6" max="7" width="15.7109375" style="10" customWidth="1"/>
    <col min="8" max="8" width="17.28515625" style="6" bestFit="1" customWidth="1"/>
    <col min="9" max="9" width="15.7109375" style="6" customWidth="1"/>
    <col min="10" max="10" width="15.7109375" style="3" customWidth="1"/>
    <col min="11" max="12" width="15.7109375" style="112" customWidth="1"/>
    <col min="13" max="14" width="60.7109375" style="127" customWidth="1"/>
    <col min="15" max="18" width="9.140625" style="127"/>
    <col min="19" max="16384" width="9.140625" style="4"/>
  </cols>
  <sheetData>
    <row r="1" spans="1:18" x14ac:dyDescent="0.25">
      <c r="A1" s="112"/>
      <c r="B1" s="112"/>
      <c r="C1" s="123" t="s">
        <v>88</v>
      </c>
      <c r="D1" s="124">
        <v>5</v>
      </c>
      <c r="E1" s="112"/>
      <c r="F1" s="140" t="s">
        <v>257</v>
      </c>
      <c r="G1" s="124">
        <v>1</v>
      </c>
      <c r="H1" s="140" t="s">
        <v>259</v>
      </c>
      <c r="I1" s="124">
        <v>7</v>
      </c>
      <c r="J1" s="140" t="s">
        <v>265</v>
      </c>
      <c r="K1" s="124">
        <v>16</v>
      </c>
      <c r="L1" s="123" t="s">
        <v>267</v>
      </c>
      <c r="M1" s="141">
        <v>1</v>
      </c>
    </row>
    <row r="2" spans="1:18" x14ac:dyDescent="0.25">
      <c r="A2" s="112"/>
      <c r="B2" s="112"/>
      <c r="C2" s="123" t="s">
        <v>89</v>
      </c>
      <c r="D2" s="124">
        <v>8</v>
      </c>
      <c r="E2" s="112"/>
      <c r="F2" s="140" t="s">
        <v>258</v>
      </c>
      <c r="G2" s="124">
        <v>14</v>
      </c>
      <c r="H2" s="140" t="s">
        <v>260</v>
      </c>
      <c r="I2" s="124">
        <v>40</v>
      </c>
      <c r="J2" s="140" t="s">
        <v>266</v>
      </c>
      <c r="K2" s="124">
        <v>6</v>
      </c>
    </row>
    <row r="3" spans="1:18" x14ac:dyDescent="0.25">
      <c r="A3" s="112"/>
      <c r="B3" s="112"/>
      <c r="C3" s="123" t="s">
        <v>90</v>
      </c>
      <c r="D3" s="124">
        <v>40</v>
      </c>
      <c r="E3" s="112"/>
      <c r="F3" s="125"/>
      <c r="G3" s="125"/>
      <c r="H3" s="126"/>
      <c r="I3" s="126"/>
      <c r="J3" s="112"/>
    </row>
    <row r="4" spans="1:18" x14ac:dyDescent="0.25">
      <c r="A4" s="112"/>
      <c r="B4" s="112"/>
      <c r="C4" s="128"/>
      <c r="D4" s="68"/>
      <c r="E4" s="112"/>
      <c r="F4" s="125"/>
      <c r="G4" s="125"/>
      <c r="H4" s="126"/>
      <c r="I4" s="126"/>
      <c r="J4" s="112"/>
    </row>
    <row r="5" spans="1:18" x14ac:dyDescent="0.25">
      <c r="A5" s="112"/>
      <c r="B5" s="112"/>
      <c r="C5" s="128" t="s">
        <v>83</v>
      </c>
      <c r="D5" s="68"/>
      <c r="E5" s="129">
        <f>E40-E7+1</f>
        <v>44</v>
      </c>
      <c r="F5" s="130" t="s">
        <v>82</v>
      </c>
      <c r="G5" s="125"/>
      <c r="H5" s="126"/>
      <c r="I5" s="126"/>
      <c r="J5" s="112"/>
    </row>
    <row r="6" spans="1:18" s="9" customFormat="1" ht="30" x14ac:dyDescent="0.25">
      <c r="A6" s="131" t="s">
        <v>8</v>
      </c>
      <c r="B6" s="131" t="s">
        <v>97</v>
      </c>
      <c r="C6" s="131" t="s">
        <v>9</v>
      </c>
      <c r="D6" s="131" t="s">
        <v>84</v>
      </c>
      <c r="E6" s="132" t="s">
        <v>80</v>
      </c>
      <c r="F6" s="133" t="s">
        <v>75</v>
      </c>
      <c r="G6" s="133" t="s">
        <v>76</v>
      </c>
      <c r="H6" s="131" t="s">
        <v>58</v>
      </c>
      <c r="I6" s="131" t="s">
        <v>59</v>
      </c>
      <c r="J6" s="131" t="s">
        <v>50</v>
      </c>
      <c r="K6" s="131" t="s">
        <v>48</v>
      </c>
      <c r="L6" s="131" t="s">
        <v>11</v>
      </c>
      <c r="M6" s="131" t="s">
        <v>36</v>
      </c>
      <c r="N6" s="131" t="s">
        <v>15</v>
      </c>
      <c r="O6" s="131"/>
      <c r="P6" s="131"/>
      <c r="Q6" s="131"/>
      <c r="R6" s="131"/>
    </row>
    <row r="7" spans="1:18" x14ac:dyDescent="0.25">
      <c r="A7" s="112">
        <v>100</v>
      </c>
      <c r="B7" s="112" t="s">
        <v>98</v>
      </c>
      <c r="C7" s="113" t="s">
        <v>0</v>
      </c>
      <c r="D7" s="134">
        <f>COUNTIF('Dependencies and Lead-Times'!A:A,C7)</f>
        <v>0</v>
      </c>
      <c r="E7" s="110">
        <f>G7</f>
        <v>41771</v>
      </c>
      <c r="F7" s="110">
        <f>G7</f>
        <v>41771</v>
      </c>
      <c r="G7" s="110">
        <v>41771</v>
      </c>
      <c r="H7" s="135" t="s">
        <v>38</v>
      </c>
      <c r="I7" s="135" t="s">
        <v>69</v>
      </c>
      <c r="J7" s="136" t="s">
        <v>49</v>
      </c>
      <c r="K7" s="136"/>
      <c r="M7" s="113" t="s">
        <v>94</v>
      </c>
    </row>
    <row r="8" spans="1:18" x14ac:dyDescent="0.25">
      <c r="A8" s="112">
        <v>105</v>
      </c>
      <c r="B8" s="112" t="s">
        <v>98</v>
      </c>
      <c r="C8" s="113" t="s">
        <v>12</v>
      </c>
      <c r="D8" s="134">
        <f>COUNTIF('Dependencies and Lead-Times'!A:A,C8)</f>
        <v>1</v>
      </c>
      <c r="E8" s="137">
        <v>41772</v>
      </c>
      <c r="F8" s="138">
        <f>IF(ISNUMBER(G8)=TRUE,G8,E8)</f>
        <v>41772</v>
      </c>
      <c r="G8" s="139"/>
      <c r="H8" s="135" t="s">
        <v>35</v>
      </c>
      <c r="I8" s="135" t="s">
        <v>69</v>
      </c>
      <c r="J8" s="136" t="s">
        <v>49</v>
      </c>
      <c r="K8" s="136"/>
      <c r="L8" s="112" t="s">
        <v>10</v>
      </c>
      <c r="M8" s="113" t="s">
        <v>46</v>
      </c>
    </row>
    <row r="9" spans="1:18" x14ac:dyDescent="0.25">
      <c r="A9" s="112">
        <v>110</v>
      </c>
      <c r="B9" s="112" t="s">
        <v>98</v>
      </c>
      <c r="C9" s="113" t="s">
        <v>13</v>
      </c>
      <c r="D9" s="134">
        <f>COUNTIF('Dependencies and Lead-Times'!A:A,C9)</f>
        <v>1</v>
      </c>
      <c r="E9" s="137">
        <v>41773</v>
      </c>
      <c r="F9" s="138">
        <f t="shared" ref="F9:F40" si="0">IF(ISNUMBER(G9)=TRUE,G9,E9)</f>
        <v>41773</v>
      </c>
      <c r="G9" s="139"/>
      <c r="H9" s="135" t="s">
        <v>35</v>
      </c>
      <c r="I9" s="135" t="s">
        <v>69</v>
      </c>
      <c r="J9" s="136" t="s">
        <v>49</v>
      </c>
      <c r="K9" s="136"/>
      <c r="L9" s="112" t="s">
        <v>14</v>
      </c>
      <c r="M9" s="113" t="s">
        <v>44</v>
      </c>
    </row>
    <row r="10" spans="1:18" x14ac:dyDescent="0.25">
      <c r="A10" s="112">
        <v>115</v>
      </c>
      <c r="B10" s="112" t="s">
        <v>98</v>
      </c>
      <c r="C10" s="113" t="s">
        <v>73</v>
      </c>
      <c r="D10" s="134">
        <f>COUNTIF('Dependencies and Lead-Times'!A:A,C10)</f>
        <v>1</v>
      </c>
      <c r="E10" s="137">
        <v>41773</v>
      </c>
      <c r="F10" s="138">
        <f t="shared" si="0"/>
        <v>41773</v>
      </c>
      <c r="G10" s="139"/>
      <c r="H10" s="135" t="s">
        <v>35</v>
      </c>
      <c r="I10" s="135" t="s">
        <v>69</v>
      </c>
      <c r="J10" s="136"/>
      <c r="K10" s="136"/>
      <c r="M10" s="113"/>
    </row>
    <row r="11" spans="1:18" x14ac:dyDescent="0.25">
      <c r="A11" s="112">
        <v>120</v>
      </c>
      <c r="B11" s="112" t="s">
        <v>98</v>
      </c>
      <c r="C11" s="113" t="s">
        <v>43</v>
      </c>
      <c r="D11" s="134">
        <f>COUNTIF('Dependencies and Lead-Times'!A:A,C11)</f>
        <v>1</v>
      </c>
      <c r="E11" s="137">
        <v>41774</v>
      </c>
      <c r="F11" s="138">
        <f t="shared" si="0"/>
        <v>41774</v>
      </c>
      <c r="G11" s="139"/>
      <c r="H11" s="135" t="s">
        <v>35</v>
      </c>
      <c r="I11" s="135" t="s">
        <v>69</v>
      </c>
      <c r="J11" s="136" t="s">
        <v>49</v>
      </c>
      <c r="K11" s="136"/>
      <c r="M11" s="113" t="s">
        <v>47</v>
      </c>
    </row>
    <row r="12" spans="1:18" x14ac:dyDescent="0.25">
      <c r="A12" s="112">
        <v>125</v>
      </c>
      <c r="B12" s="112" t="s">
        <v>98</v>
      </c>
      <c r="C12" s="113" t="s">
        <v>1</v>
      </c>
      <c r="D12" s="134">
        <f>COUNTIF('Dependencies and Lead-Times'!A:A,C12)</f>
        <v>1</v>
      </c>
      <c r="E12" s="137">
        <v>41774</v>
      </c>
      <c r="F12" s="138">
        <f t="shared" si="0"/>
        <v>41774</v>
      </c>
      <c r="G12" s="139"/>
      <c r="H12" s="135" t="s">
        <v>35</v>
      </c>
      <c r="I12" s="135" t="s">
        <v>69</v>
      </c>
      <c r="J12" s="136" t="s">
        <v>49</v>
      </c>
      <c r="K12" s="136"/>
      <c r="L12" s="112" t="s">
        <v>31</v>
      </c>
      <c r="M12" s="113" t="s">
        <v>45</v>
      </c>
    </row>
    <row r="13" spans="1:18" x14ac:dyDescent="0.25">
      <c r="A13" s="112">
        <v>130</v>
      </c>
      <c r="B13" s="112" t="s">
        <v>98</v>
      </c>
      <c r="C13" s="113" t="s">
        <v>2</v>
      </c>
      <c r="D13" s="134">
        <f>COUNTIF('Dependencies and Lead-Times'!A:A,C13)</f>
        <v>1</v>
      </c>
      <c r="E13" s="137">
        <v>41779</v>
      </c>
      <c r="F13" s="138">
        <f t="shared" si="0"/>
        <v>41779</v>
      </c>
      <c r="G13" s="139"/>
      <c r="H13" s="135" t="s">
        <v>38</v>
      </c>
      <c r="I13" s="135" t="s">
        <v>69</v>
      </c>
      <c r="J13" s="136" t="s">
        <v>49</v>
      </c>
      <c r="K13" s="136"/>
      <c r="M13" s="113" t="s">
        <v>42</v>
      </c>
    </row>
    <row r="14" spans="1:18" x14ac:dyDescent="0.25">
      <c r="A14" s="112">
        <v>135</v>
      </c>
      <c r="B14" s="112" t="s">
        <v>98</v>
      </c>
      <c r="C14" s="113" t="s">
        <v>142</v>
      </c>
      <c r="D14" s="134">
        <f>COUNTIF('Dependencies and Lead-Times'!A:A,C14)</f>
        <v>1</v>
      </c>
      <c r="E14" s="137">
        <v>41782</v>
      </c>
      <c r="F14" s="138">
        <f t="shared" si="0"/>
        <v>41782</v>
      </c>
      <c r="G14" s="139"/>
      <c r="H14" s="135" t="s">
        <v>35</v>
      </c>
      <c r="I14" s="135" t="s">
        <v>69</v>
      </c>
      <c r="J14" s="136"/>
      <c r="K14" s="136"/>
      <c r="M14" s="113"/>
    </row>
    <row r="15" spans="1:18" x14ac:dyDescent="0.25">
      <c r="A15" s="112">
        <v>140</v>
      </c>
      <c r="B15" s="112" t="s">
        <v>98</v>
      </c>
      <c r="C15" s="113" t="s">
        <v>143</v>
      </c>
      <c r="D15" s="134">
        <f>COUNTIF('Dependencies and Lead-Times'!A:A,C15)</f>
        <v>1</v>
      </c>
      <c r="E15" s="137">
        <v>41787</v>
      </c>
      <c r="F15" s="138">
        <f t="shared" si="0"/>
        <v>41787</v>
      </c>
      <c r="G15" s="139"/>
      <c r="H15" s="135" t="s">
        <v>38</v>
      </c>
      <c r="I15" s="135" t="s">
        <v>70</v>
      </c>
      <c r="J15" s="136" t="s">
        <v>49</v>
      </c>
      <c r="K15" s="136"/>
      <c r="M15" s="113" t="s">
        <v>41</v>
      </c>
    </row>
    <row r="16" spans="1:18" x14ac:dyDescent="0.25">
      <c r="A16" s="114">
        <v>145</v>
      </c>
      <c r="B16" s="114" t="s">
        <v>98</v>
      </c>
      <c r="C16" s="116" t="s">
        <v>21</v>
      </c>
      <c r="D16" s="117">
        <f>COUNTIF('Dependencies and Lead-Times'!A:A,C16)</f>
        <v>1</v>
      </c>
      <c r="E16" s="120">
        <v>41788</v>
      </c>
      <c r="F16" s="121">
        <f t="shared" si="0"/>
        <v>41788</v>
      </c>
      <c r="G16" s="122"/>
      <c r="H16" s="118" t="s">
        <v>38</v>
      </c>
      <c r="I16" s="118" t="s">
        <v>69</v>
      </c>
      <c r="J16" s="119" t="s">
        <v>49</v>
      </c>
      <c r="K16" s="119"/>
      <c r="L16" s="114" t="s">
        <v>10</v>
      </c>
      <c r="M16" s="116" t="s">
        <v>37</v>
      </c>
      <c r="N16" s="115"/>
    </row>
    <row r="17" spans="1:13" x14ac:dyDescent="0.25">
      <c r="A17" s="112">
        <v>150</v>
      </c>
      <c r="B17" s="112" t="s">
        <v>98</v>
      </c>
      <c r="C17" s="113" t="s">
        <v>16</v>
      </c>
      <c r="D17" s="134">
        <f>COUNTIF('Dependencies and Lead-Times'!A:A,C17)</f>
        <v>2</v>
      </c>
      <c r="E17" s="137">
        <v>41789</v>
      </c>
      <c r="F17" s="138">
        <f t="shared" si="0"/>
        <v>41789</v>
      </c>
      <c r="G17" s="139"/>
      <c r="H17" s="135" t="s">
        <v>35</v>
      </c>
      <c r="I17" s="135" t="s">
        <v>69</v>
      </c>
      <c r="J17" s="136"/>
      <c r="K17" s="136"/>
      <c r="L17" s="112" t="s">
        <v>14</v>
      </c>
      <c r="M17" s="113"/>
    </row>
    <row r="18" spans="1:13" x14ac:dyDescent="0.25">
      <c r="A18" s="112">
        <v>155</v>
      </c>
      <c r="B18" s="112" t="s">
        <v>98</v>
      </c>
      <c r="C18" s="113" t="s">
        <v>17</v>
      </c>
      <c r="D18" s="134">
        <f>COUNTIF('Dependencies and Lead-Times'!A:A,C18)</f>
        <v>1</v>
      </c>
      <c r="E18" s="137">
        <v>41789</v>
      </c>
      <c r="F18" s="138">
        <f t="shared" si="0"/>
        <v>41789</v>
      </c>
      <c r="G18" s="139"/>
      <c r="H18" s="135" t="s">
        <v>35</v>
      </c>
      <c r="I18" s="135" t="s">
        <v>69</v>
      </c>
      <c r="J18" s="136"/>
      <c r="K18" s="136"/>
      <c r="L18" s="112" t="s">
        <v>18</v>
      </c>
      <c r="M18" s="113"/>
    </row>
    <row r="19" spans="1:13" x14ac:dyDescent="0.25">
      <c r="A19" s="112">
        <v>160</v>
      </c>
      <c r="B19" s="112" t="s">
        <v>98</v>
      </c>
      <c r="C19" s="113" t="s">
        <v>19</v>
      </c>
      <c r="D19" s="134">
        <f>COUNTIF('Dependencies and Lead-Times'!A:A,C19)</f>
        <v>1</v>
      </c>
      <c r="E19" s="137">
        <v>41792</v>
      </c>
      <c r="F19" s="138">
        <f t="shared" si="0"/>
        <v>41792</v>
      </c>
      <c r="G19" s="139"/>
      <c r="H19" s="135" t="s">
        <v>35</v>
      </c>
      <c r="I19" s="135" t="s">
        <v>70</v>
      </c>
      <c r="J19" s="136" t="s">
        <v>49</v>
      </c>
      <c r="K19" s="136"/>
      <c r="L19" s="112">
        <v>6.7</v>
      </c>
      <c r="M19" s="113" t="s">
        <v>39</v>
      </c>
    </row>
    <row r="20" spans="1:13" x14ac:dyDescent="0.25">
      <c r="A20" s="112">
        <v>165</v>
      </c>
      <c r="B20" s="112" t="s">
        <v>98</v>
      </c>
      <c r="C20" s="113" t="s">
        <v>20</v>
      </c>
      <c r="D20" s="134">
        <f>COUNTIF('Dependencies and Lead-Times'!A:A,C20)</f>
        <v>1</v>
      </c>
      <c r="E20" s="137">
        <v>41793</v>
      </c>
      <c r="F20" s="138">
        <f t="shared" si="0"/>
        <v>41793</v>
      </c>
      <c r="G20" s="139"/>
      <c r="H20" s="135" t="s">
        <v>40</v>
      </c>
      <c r="I20" s="135" t="s">
        <v>69</v>
      </c>
      <c r="J20" s="136" t="s">
        <v>49</v>
      </c>
      <c r="K20" s="136"/>
      <c r="L20" s="112">
        <v>6.7</v>
      </c>
      <c r="M20" s="113" t="s">
        <v>95</v>
      </c>
    </row>
    <row r="21" spans="1:13" x14ac:dyDescent="0.25">
      <c r="A21" s="112">
        <v>170</v>
      </c>
      <c r="B21" s="112" t="s">
        <v>98</v>
      </c>
      <c r="C21" s="113" t="s">
        <v>23</v>
      </c>
      <c r="D21" s="134">
        <f>COUNTIF('Dependencies and Lead-Times'!A:A,C21)</f>
        <v>2</v>
      </c>
      <c r="E21" s="137">
        <v>41792</v>
      </c>
      <c r="F21" s="138">
        <f t="shared" si="0"/>
        <v>41792</v>
      </c>
      <c r="G21" s="139"/>
      <c r="H21" s="135" t="s">
        <v>35</v>
      </c>
      <c r="I21" s="135" t="s">
        <v>69</v>
      </c>
      <c r="J21" s="136"/>
      <c r="K21" s="136"/>
      <c r="L21" s="112" t="s">
        <v>22</v>
      </c>
      <c r="M21" s="113"/>
    </row>
    <row r="22" spans="1:13" x14ac:dyDescent="0.25">
      <c r="A22" s="112">
        <v>175</v>
      </c>
      <c r="B22" s="112" t="s">
        <v>98</v>
      </c>
      <c r="C22" s="113" t="s">
        <v>74</v>
      </c>
      <c r="D22" s="134">
        <f>COUNTIF('Dependencies and Lead-Times'!A:A,C22)</f>
        <v>1</v>
      </c>
      <c r="E22" s="137">
        <v>41793</v>
      </c>
      <c r="F22" s="138">
        <f t="shared" si="0"/>
        <v>41793</v>
      </c>
      <c r="G22" s="139"/>
      <c r="H22" s="135" t="s">
        <v>35</v>
      </c>
      <c r="I22" s="135" t="s">
        <v>69</v>
      </c>
      <c r="J22" s="136" t="s">
        <v>49</v>
      </c>
      <c r="K22" s="136"/>
      <c r="M22" s="113" t="s">
        <v>96</v>
      </c>
    </row>
    <row r="23" spans="1:13" x14ac:dyDescent="0.25">
      <c r="A23" s="112">
        <v>200</v>
      </c>
      <c r="B23" s="112" t="s">
        <v>99</v>
      </c>
      <c r="C23" s="113" t="s">
        <v>24</v>
      </c>
      <c r="D23" s="134">
        <f>COUNTIF('Dependencies and Lead-Times'!A:A,C23)</f>
        <v>2</v>
      </c>
      <c r="E23" s="137">
        <v>41794</v>
      </c>
      <c r="F23" s="138">
        <f t="shared" si="0"/>
        <v>41794</v>
      </c>
      <c r="G23" s="139"/>
      <c r="H23" s="135" t="s">
        <v>35</v>
      </c>
      <c r="I23" s="135" t="s">
        <v>69</v>
      </c>
      <c r="J23" s="136"/>
      <c r="K23" s="136"/>
      <c r="M23" s="113"/>
    </row>
    <row r="24" spans="1:13" x14ac:dyDescent="0.25">
      <c r="A24" s="112">
        <v>205</v>
      </c>
      <c r="B24" s="112" t="s">
        <v>99</v>
      </c>
      <c r="C24" s="113" t="s">
        <v>140</v>
      </c>
      <c r="D24" s="134">
        <f>COUNTIF('Dependencies and Lead-Times'!A:A,C24)</f>
        <v>1</v>
      </c>
      <c r="E24" s="137">
        <v>41795</v>
      </c>
      <c r="F24" s="138">
        <f t="shared" si="0"/>
        <v>41795</v>
      </c>
      <c r="G24" s="139"/>
      <c r="H24" s="135" t="s">
        <v>35</v>
      </c>
      <c r="I24" s="135" t="s">
        <v>69</v>
      </c>
      <c r="J24" s="136" t="s">
        <v>49</v>
      </c>
      <c r="K24" s="136"/>
      <c r="M24" s="113"/>
    </row>
    <row r="25" spans="1:13" x14ac:dyDescent="0.25">
      <c r="A25" s="112">
        <v>210</v>
      </c>
      <c r="B25" s="112" t="s">
        <v>99</v>
      </c>
      <c r="C25" s="113" t="s">
        <v>141</v>
      </c>
      <c r="D25" s="134">
        <f>COUNTIF('Dependencies and Lead-Times'!A:A,C25)</f>
        <v>1</v>
      </c>
      <c r="E25" s="137">
        <v>41800</v>
      </c>
      <c r="F25" s="138">
        <f t="shared" si="0"/>
        <v>41800</v>
      </c>
      <c r="G25" s="139"/>
      <c r="H25" s="135" t="s">
        <v>38</v>
      </c>
      <c r="I25" s="135" t="s">
        <v>69</v>
      </c>
      <c r="J25" s="136" t="s">
        <v>49</v>
      </c>
      <c r="K25" s="136"/>
      <c r="M25" s="113"/>
    </row>
    <row r="26" spans="1:13" x14ac:dyDescent="0.25">
      <c r="A26" s="112">
        <v>215</v>
      </c>
      <c r="B26" s="112" t="s">
        <v>99</v>
      </c>
      <c r="C26" s="113" t="s">
        <v>144</v>
      </c>
      <c r="D26" s="134">
        <f>COUNTIF('Dependencies and Lead-Times'!A:A,C26)</f>
        <v>1</v>
      </c>
      <c r="E26" s="137">
        <v>41803</v>
      </c>
      <c r="F26" s="138">
        <f t="shared" si="0"/>
        <v>41803</v>
      </c>
      <c r="G26" s="139"/>
      <c r="H26" s="135" t="s">
        <v>38</v>
      </c>
      <c r="I26" s="135" t="s">
        <v>69</v>
      </c>
      <c r="J26" s="136" t="s">
        <v>49</v>
      </c>
      <c r="K26" s="136"/>
      <c r="M26" s="113"/>
    </row>
    <row r="27" spans="1:13" x14ac:dyDescent="0.25">
      <c r="A27" s="112">
        <v>220</v>
      </c>
      <c r="B27" s="112" t="s">
        <v>99</v>
      </c>
      <c r="C27" s="113" t="s">
        <v>60</v>
      </c>
      <c r="D27" s="134">
        <f>COUNTIF('Dependencies and Lead-Times'!A:A,C27)</f>
        <v>1</v>
      </c>
      <c r="E27" s="137">
        <v>41799</v>
      </c>
      <c r="F27" s="138">
        <f t="shared" si="0"/>
        <v>41799</v>
      </c>
      <c r="G27" s="139"/>
      <c r="H27" s="135" t="s">
        <v>35</v>
      </c>
      <c r="I27" s="135" t="s">
        <v>69</v>
      </c>
      <c r="J27" s="136"/>
      <c r="K27" s="136"/>
      <c r="L27" s="112" t="s">
        <v>65</v>
      </c>
      <c r="M27" s="113"/>
    </row>
    <row r="28" spans="1:13" x14ac:dyDescent="0.25">
      <c r="A28" s="112">
        <v>225</v>
      </c>
      <c r="B28" s="112" t="s">
        <v>99</v>
      </c>
      <c r="C28" s="113" t="s">
        <v>61</v>
      </c>
      <c r="D28" s="134">
        <f>COUNTIF('Dependencies and Lead-Times'!A:A,C28)</f>
        <v>1</v>
      </c>
      <c r="E28" s="137">
        <v>41799</v>
      </c>
      <c r="F28" s="138">
        <f t="shared" si="0"/>
        <v>41799</v>
      </c>
      <c r="G28" s="139"/>
      <c r="H28" s="135" t="s">
        <v>35</v>
      </c>
      <c r="I28" s="135" t="s">
        <v>69</v>
      </c>
      <c r="J28" s="136"/>
      <c r="K28" s="136"/>
      <c r="L28" s="112" t="s">
        <v>66</v>
      </c>
      <c r="M28" s="113"/>
    </row>
    <row r="29" spans="1:13" x14ac:dyDescent="0.25">
      <c r="A29" s="112">
        <v>245</v>
      </c>
      <c r="B29" s="112" t="s">
        <v>99</v>
      </c>
      <c r="C29" s="113" t="s">
        <v>27</v>
      </c>
      <c r="D29" s="134">
        <f>COUNTIF('Dependencies and Lead-Times'!A:A,C29)</f>
        <v>2</v>
      </c>
      <c r="E29" s="137">
        <v>41799</v>
      </c>
      <c r="F29" s="138">
        <f t="shared" si="0"/>
        <v>41799</v>
      </c>
      <c r="G29" s="139"/>
      <c r="H29" s="135" t="s">
        <v>35</v>
      </c>
      <c r="I29" s="135" t="s">
        <v>69</v>
      </c>
      <c r="J29" s="136"/>
      <c r="K29" s="136"/>
      <c r="L29" s="112" t="s">
        <v>26</v>
      </c>
      <c r="M29" s="113"/>
    </row>
    <row r="30" spans="1:13" x14ac:dyDescent="0.25">
      <c r="A30" s="112">
        <v>250</v>
      </c>
      <c r="B30" s="112" t="s">
        <v>99</v>
      </c>
      <c r="C30" s="113" t="s">
        <v>28</v>
      </c>
      <c r="D30" s="134">
        <f>COUNTIF('Dependencies and Lead-Times'!A:A,C30)</f>
        <v>1</v>
      </c>
      <c r="E30" s="137">
        <v>41802</v>
      </c>
      <c r="F30" s="138">
        <f t="shared" si="0"/>
        <v>41802</v>
      </c>
      <c r="G30" s="139"/>
      <c r="H30" s="135" t="s">
        <v>52</v>
      </c>
      <c r="I30" s="135" t="s">
        <v>69</v>
      </c>
      <c r="J30" s="136"/>
      <c r="K30" s="136"/>
      <c r="L30" s="112" t="s">
        <v>26</v>
      </c>
      <c r="M30" s="113"/>
    </row>
    <row r="31" spans="1:13" x14ac:dyDescent="0.25">
      <c r="A31" s="112">
        <v>255</v>
      </c>
      <c r="B31" s="112" t="s">
        <v>99</v>
      </c>
      <c r="C31" s="113" t="s">
        <v>3</v>
      </c>
      <c r="D31" s="134">
        <f>COUNTIF('Dependencies and Lead-Times'!A:A,C31)</f>
        <v>2</v>
      </c>
      <c r="E31" s="137">
        <v>41801</v>
      </c>
      <c r="F31" s="138">
        <f t="shared" si="0"/>
        <v>41801</v>
      </c>
      <c r="G31" s="139"/>
      <c r="H31" s="135" t="s">
        <v>38</v>
      </c>
      <c r="I31" s="135" t="s">
        <v>69</v>
      </c>
      <c r="J31" s="136" t="s">
        <v>49</v>
      </c>
      <c r="K31" s="136"/>
      <c r="M31" s="113" t="s">
        <v>71</v>
      </c>
    </row>
    <row r="32" spans="1:13" x14ac:dyDescent="0.25">
      <c r="A32" s="112">
        <v>260</v>
      </c>
      <c r="B32" s="112" t="s">
        <v>99</v>
      </c>
      <c r="C32" s="113" t="s">
        <v>51</v>
      </c>
      <c r="D32" s="134">
        <f>COUNTIF('Dependencies and Lead-Times'!A:A,C32)</f>
        <v>1</v>
      </c>
      <c r="E32" s="137">
        <v>41802</v>
      </c>
      <c r="F32" s="138">
        <f t="shared" si="0"/>
        <v>41802</v>
      </c>
      <c r="G32" s="139"/>
      <c r="H32" s="135" t="s">
        <v>35</v>
      </c>
      <c r="I32" s="135" t="s">
        <v>69</v>
      </c>
      <c r="J32" s="136"/>
      <c r="K32" s="136"/>
      <c r="L32" s="112" t="s">
        <v>67</v>
      </c>
      <c r="M32" s="113"/>
    </row>
    <row r="33" spans="1:13" x14ac:dyDescent="0.25">
      <c r="A33" s="112">
        <v>265</v>
      </c>
      <c r="B33" s="112" t="s">
        <v>99</v>
      </c>
      <c r="C33" s="113" t="s">
        <v>29</v>
      </c>
      <c r="D33" s="134">
        <f>COUNTIF('Dependencies and Lead-Times'!A:A,C33)</f>
        <v>2</v>
      </c>
      <c r="E33" s="137">
        <v>41800</v>
      </c>
      <c r="F33" s="138">
        <f t="shared" si="0"/>
        <v>41800</v>
      </c>
      <c r="G33" s="139"/>
      <c r="H33" s="135" t="s">
        <v>35</v>
      </c>
      <c r="I33" s="135" t="s">
        <v>69</v>
      </c>
      <c r="J33" s="136"/>
      <c r="K33" s="136"/>
      <c r="L33" s="112" t="s">
        <v>30</v>
      </c>
      <c r="M33" s="113"/>
    </row>
    <row r="34" spans="1:13" x14ac:dyDescent="0.25">
      <c r="A34" s="112">
        <v>300</v>
      </c>
      <c r="B34" s="112" t="s">
        <v>100</v>
      </c>
      <c r="C34" s="113" t="s">
        <v>4</v>
      </c>
      <c r="D34" s="134">
        <f>COUNTIF('Dependencies and Lead-Times'!A:A,C34)</f>
        <v>2</v>
      </c>
      <c r="E34" s="137">
        <v>41807</v>
      </c>
      <c r="F34" s="138">
        <f t="shared" si="0"/>
        <v>41807</v>
      </c>
      <c r="G34" s="139"/>
      <c r="H34" s="135" t="s">
        <v>35</v>
      </c>
      <c r="I34" s="135" t="s">
        <v>69</v>
      </c>
      <c r="J34" s="136" t="s">
        <v>49</v>
      </c>
      <c r="K34" s="136"/>
      <c r="M34" s="113" t="s">
        <v>68</v>
      </c>
    </row>
    <row r="35" spans="1:13" x14ac:dyDescent="0.25">
      <c r="A35" s="112">
        <v>305</v>
      </c>
      <c r="B35" s="112" t="s">
        <v>100</v>
      </c>
      <c r="C35" s="113" t="s">
        <v>62</v>
      </c>
      <c r="D35" s="134">
        <f>COUNTIF('Dependencies and Lead-Times'!A:A,C35)</f>
        <v>1</v>
      </c>
      <c r="E35" s="137">
        <v>41807</v>
      </c>
      <c r="F35" s="138">
        <f t="shared" si="0"/>
        <v>41807</v>
      </c>
      <c r="G35" s="139"/>
      <c r="H35" s="135" t="s">
        <v>35</v>
      </c>
      <c r="I35" s="135" t="s">
        <v>69</v>
      </c>
      <c r="J35" s="136"/>
      <c r="K35" s="136"/>
      <c r="L35" s="112" t="s">
        <v>64</v>
      </c>
      <c r="M35" s="113"/>
    </row>
    <row r="36" spans="1:13" x14ac:dyDescent="0.25">
      <c r="A36" s="112">
        <v>310</v>
      </c>
      <c r="B36" s="112" t="s">
        <v>100</v>
      </c>
      <c r="C36" s="113" t="s">
        <v>256</v>
      </c>
      <c r="D36" s="134">
        <f>COUNTIF('Dependencies and Lead-Times'!A:A,C36)</f>
        <v>2</v>
      </c>
      <c r="E36" s="137">
        <v>41806</v>
      </c>
      <c r="F36" s="138">
        <f t="shared" si="0"/>
        <v>41806</v>
      </c>
      <c r="G36" s="139"/>
      <c r="H36" s="135" t="s">
        <v>35</v>
      </c>
      <c r="I36" s="135" t="s">
        <v>69</v>
      </c>
      <c r="J36" s="136"/>
      <c r="K36" s="136"/>
      <c r="L36" s="112" t="s">
        <v>63</v>
      </c>
      <c r="M36" s="113"/>
    </row>
    <row r="37" spans="1:13" ht="17.25" x14ac:dyDescent="0.25">
      <c r="A37" s="112">
        <v>315</v>
      </c>
      <c r="B37" s="112" t="s">
        <v>100</v>
      </c>
      <c r="C37" s="113" t="s">
        <v>25</v>
      </c>
      <c r="D37" s="134">
        <f>COUNTIF('Dependencies and Lead-Times'!A:A,C37)</f>
        <v>2</v>
      </c>
      <c r="E37" s="137">
        <v>41807</v>
      </c>
      <c r="F37" s="138">
        <f t="shared" si="0"/>
        <v>41807</v>
      </c>
      <c r="G37" s="139"/>
      <c r="H37" s="135" t="s">
        <v>35</v>
      </c>
      <c r="I37" s="135" t="s">
        <v>69</v>
      </c>
      <c r="J37" s="136"/>
      <c r="K37" s="136" t="s">
        <v>53</v>
      </c>
      <c r="L37" s="112" t="s">
        <v>22</v>
      </c>
      <c r="M37" s="113"/>
    </row>
    <row r="38" spans="1:13" x14ac:dyDescent="0.25">
      <c r="A38" s="112">
        <v>320</v>
      </c>
      <c r="B38" s="112" t="s">
        <v>100</v>
      </c>
      <c r="C38" s="113" t="s">
        <v>5</v>
      </c>
      <c r="D38" s="134">
        <f>COUNTIF('Dependencies and Lead-Times'!A:A,C38)</f>
        <v>1</v>
      </c>
      <c r="E38" s="137">
        <v>41807</v>
      </c>
      <c r="F38" s="138">
        <f t="shared" si="0"/>
        <v>41807</v>
      </c>
      <c r="G38" s="139"/>
      <c r="H38" s="135" t="s">
        <v>35</v>
      </c>
      <c r="I38" s="135" t="s">
        <v>69</v>
      </c>
      <c r="J38" s="136" t="s">
        <v>49</v>
      </c>
      <c r="K38" s="136"/>
      <c r="M38" s="113"/>
    </row>
    <row r="39" spans="1:13" x14ac:dyDescent="0.25">
      <c r="A39" s="112">
        <v>325</v>
      </c>
      <c r="B39" s="112" t="s">
        <v>100</v>
      </c>
      <c r="C39" s="113" t="s">
        <v>6</v>
      </c>
      <c r="D39" s="134">
        <f>COUNTIF('Dependencies and Lead-Times'!A:A,C39)</f>
        <v>1</v>
      </c>
      <c r="E39" s="137">
        <v>41807</v>
      </c>
      <c r="F39" s="138">
        <f t="shared" si="0"/>
        <v>41807</v>
      </c>
      <c r="G39" s="139"/>
      <c r="H39" s="135" t="s">
        <v>35</v>
      </c>
      <c r="I39" s="135" t="s">
        <v>69</v>
      </c>
      <c r="J39" s="136"/>
      <c r="K39" s="136"/>
      <c r="M39" s="113"/>
    </row>
    <row r="40" spans="1:13" ht="17.25" x14ac:dyDescent="0.25">
      <c r="A40" s="112">
        <v>330</v>
      </c>
      <c r="B40" s="112" t="s">
        <v>100</v>
      </c>
      <c r="C40" s="113" t="s">
        <v>7</v>
      </c>
      <c r="D40" s="134">
        <f>COUNTIF('Dependencies and Lead-Times'!A:A,C40)</f>
        <v>1</v>
      </c>
      <c r="E40" s="137">
        <v>41814</v>
      </c>
      <c r="F40" s="138">
        <f t="shared" si="0"/>
        <v>41814</v>
      </c>
      <c r="G40" s="139"/>
      <c r="H40" s="135" t="s">
        <v>38</v>
      </c>
      <c r="I40" s="135" t="s">
        <v>69</v>
      </c>
      <c r="J40" s="136" t="s">
        <v>49</v>
      </c>
      <c r="K40" s="136" t="s">
        <v>56</v>
      </c>
      <c r="M40" s="113" t="s">
        <v>72</v>
      </c>
    </row>
    <row r="41" spans="1:13" x14ac:dyDescent="0.25">
      <c r="D41"/>
    </row>
    <row r="42" spans="1:13" x14ac:dyDescent="0.25">
      <c r="A42" s="5" t="s">
        <v>54</v>
      </c>
      <c r="B42" s="5"/>
      <c r="D42"/>
    </row>
    <row r="43" spans="1:13" ht="17.25" x14ac:dyDescent="0.25">
      <c r="A43" s="8">
        <v>1</v>
      </c>
      <c r="B43" s="4" t="s">
        <v>55</v>
      </c>
      <c r="D43"/>
    </row>
    <row r="44" spans="1:13" ht="17.25" x14ac:dyDescent="0.25">
      <c r="A44" s="8">
        <v>2</v>
      </c>
      <c r="B44" s="4" t="s">
        <v>57</v>
      </c>
      <c r="D44"/>
    </row>
    <row r="45" spans="1:13" ht="17.25" x14ac:dyDescent="0.25">
      <c r="A45" s="8"/>
      <c r="B45" s="4" t="s">
        <v>101</v>
      </c>
      <c r="D45"/>
    </row>
    <row r="46" spans="1:13" ht="17.25" x14ac:dyDescent="0.25">
      <c r="A46" s="8"/>
      <c r="B46" s="19" t="s">
        <v>105</v>
      </c>
      <c r="C46" s="18" t="s">
        <v>106</v>
      </c>
      <c r="D46"/>
    </row>
    <row r="47" spans="1:13" ht="17.25" x14ac:dyDescent="0.25">
      <c r="A47" s="8"/>
      <c r="B47" s="3">
        <v>1</v>
      </c>
      <c r="C47" s="4" t="s">
        <v>102</v>
      </c>
      <c r="D47"/>
    </row>
    <row r="48" spans="1:13" ht="17.25" x14ac:dyDescent="0.25">
      <c r="A48" s="8"/>
      <c r="B48" s="3">
        <v>2</v>
      </c>
      <c r="C48" s="4" t="s">
        <v>103</v>
      </c>
      <c r="D48"/>
    </row>
    <row r="49" spans="1:4" ht="17.25" x14ac:dyDescent="0.25">
      <c r="A49" s="8"/>
      <c r="B49" s="3">
        <v>3</v>
      </c>
      <c r="C49" s="4" t="s">
        <v>104</v>
      </c>
      <c r="D49"/>
    </row>
    <row r="50" spans="1:4" ht="17.25" x14ac:dyDescent="0.25">
      <c r="A50" s="8"/>
      <c r="D50"/>
    </row>
    <row r="51" spans="1:4" ht="17.25" x14ac:dyDescent="0.25">
      <c r="A51" s="8"/>
      <c r="B51" s="111" t="s">
        <v>262</v>
      </c>
      <c r="C51" s="18"/>
      <c r="D51"/>
    </row>
    <row r="52" spans="1:4" ht="17.25" x14ac:dyDescent="0.25">
      <c r="A52" s="8"/>
      <c r="B52" s="7" t="s">
        <v>264</v>
      </c>
      <c r="C52" s="4" t="s">
        <v>261</v>
      </c>
      <c r="D52"/>
    </row>
    <row r="53" spans="1:4" x14ac:dyDescent="0.25">
      <c r="A53" s="7"/>
      <c r="B53" s="7" t="s">
        <v>264</v>
      </c>
      <c r="C53" s="4" t="s">
        <v>263</v>
      </c>
      <c r="D53"/>
    </row>
    <row r="54" spans="1:4" x14ac:dyDescent="0.25">
      <c r="A54" s="7"/>
      <c r="B54" s="7"/>
      <c r="D54"/>
    </row>
    <row r="55" spans="1:4" x14ac:dyDescent="0.25">
      <c r="A55" s="5" t="s">
        <v>34</v>
      </c>
      <c r="B55" s="5"/>
      <c r="D55"/>
    </row>
    <row r="56" spans="1:4" x14ac:dyDescent="0.25">
      <c r="A56" s="3" t="s">
        <v>32</v>
      </c>
      <c r="B56" s="4" t="s">
        <v>33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un_LT_Update">
                <anchor moveWithCells="1" sizeWithCells="1">
                  <from>
                    <xdr:col>2</xdr:col>
                    <xdr:colOff>371475</xdr:colOff>
                    <xdr:row>1</xdr:row>
                    <xdr:rowOff>9525</xdr:rowOff>
                  </from>
                  <to>
                    <xdr:col>2</xdr:col>
                    <xdr:colOff>1752600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7"/>
  <sheetViews>
    <sheetView zoomScale="80" zoomScaleNormal="80" workbookViewId="0">
      <pane ySplit="5" topLeftCell="A15" activePane="bottomLeft" state="frozen"/>
      <selection activeCell="G41" sqref="G41"/>
      <selection pane="bottomLeft" activeCell="B31" sqref="B31"/>
    </sheetView>
  </sheetViews>
  <sheetFormatPr defaultColWidth="32.42578125" defaultRowHeight="15" x14ac:dyDescent="0.25"/>
  <cols>
    <col min="1" max="2" width="62.85546875" style="11" customWidth="1"/>
    <col min="3" max="3" width="15.7109375" style="13" customWidth="1"/>
    <col min="4" max="4" width="15.7109375" style="17" customWidth="1"/>
    <col min="5" max="5" width="15.7109375" style="11" customWidth="1"/>
    <col min="6" max="16384" width="32.42578125" style="11"/>
  </cols>
  <sheetData>
    <row r="1" spans="1:5" x14ac:dyDescent="0.25">
      <c r="B1" s="15" t="s">
        <v>91</v>
      </c>
      <c r="C1" s="16">
        <v>4</v>
      </c>
      <c r="D1" s="11"/>
    </row>
    <row r="2" spans="1:5" x14ac:dyDescent="0.25">
      <c r="B2" s="15" t="s">
        <v>92</v>
      </c>
      <c r="C2" s="16">
        <v>4</v>
      </c>
      <c r="D2" s="11"/>
    </row>
    <row r="3" spans="1:5" x14ac:dyDescent="0.25">
      <c r="B3" s="15" t="s">
        <v>93</v>
      </c>
      <c r="C3" s="16">
        <v>47</v>
      </c>
      <c r="D3" s="11"/>
    </row>
    <row r="4" spans="1:5" x14ac:dyDescent="0.25">
      <c r="B4" s="7"/>
      <c r="C4" s="3"/>
      <c r="D4" s="11"/>
    </row>
    <row r="5" spans="1:5" s="12" customFormat="1" ht="47.25" customHeight="1" x14ac:dyDescent="0.25">
      <c r="A5" s="2" t="s">
        <v>77</v>
      </c>
      <c r="B5" s="2" t="s">
        <v>78</v>
      </c>
      <c r="C5" s="2" t="s">
        <v>79</v>
      </c>
      <c r="D5" s="2" t="s">
        <v>81</v>
      </c>
      <c r="E5" s="2"/>
    </row>
    <row r="6" spans="1:5" x14ac:dyDescent="0.25">
      <c r="A6" s="11" t="s">
        <v>12</v>
      </c>
      <c r="B6" s="11" t="s">
        <v>0</v>
      </c>
      <c r="C6" s="13">
        <v>1</v>
      </c>
      <c r="D6" s="17">
        <f>WORKDAY(VLOOKUP(B6,'Milestone List and Forecasts'!C:F,3,FALSE),C6)</f>
        <v>41772</v>
      </c>
    </row>
    <row r="7" spans="1:5" x14ac:dyDescent="0.25">
      <c r="A7" s="1" t="s">
        <v>13</v>
      </c>
      <c r="B7" s="11" t="s">
        <v>12</v>
      </c>
      <c r="C7" s="13">
        <v>1</v>
      </c>
      <c r="D7" s="17">
        <f>WORKDAY(VLOOKUP(B7,'Milestone List and Forecasts'!C:F,3,FALSE),C7)</f>
        <v>41773</v>
      </c>
    </row>
    <row r="8" spans="1:5" x14ac:dyDescent="0.25">
      <c r="A8" s="1" t="s">
        <v>73</v>
      </c>
      <c r="B8" s="1" t="s">
        <v>13</v>
      </c>
      <c r="C8" s="13">
        <v>0</v>
      </c>
      <c r="D8" s="17">
        <f>WORKDAY(VLOOKUP(B8,'Milestone List and Forecasts'!C:F,3,FALSE),C8)</f>
        <v>41773</v>
      </c>
    </row>
    <row r="9" spans="1:5" x14ac:dyDescent="0.25">
      <c r="A9" s="1" t="s">
        <v>43</v>
      </c>
      <c r="B9" s="1" t="s">
        <v>73</v>
      </c>
      <c r="C9" s="13">
        <v>1</v>
      </c>
      <c r="D9" s="17">
        <f>WORKDAY(VLOOKUP(B9,'Milestone List and Forecasts'!C:F,3,FALSE),C9)</f>
        <v>41774</v>
      </c>
    </row>
    <row r="10" spans="1:5" x14ac:dyDescent="0.25">
      <c r="A10" s="1" t="s">
        <v>1</v>
      </c>
      <c r="B10" s="1" t="s">
        <v>43</v>
      </c>
      <c r="C10" s="13">
        <v>0</v>
      </c>
      <c r="D10" s="17">
        <f>WORKDAY(VLOOKUP(B10,'Milestone List and Forecasts'!C:F,3,FALSE),C10)</f>
        <v>41774</v>
      </c>
    </row>
    <row r="11" spans="1:5" x14ac:dyDescent="0.25">
      <c r="A11" s="1" t="s">
        <v>2</v>
      </c>
      <c r="B11" s="1" t="s">
        <v>1</v>
      </c>
      <c r="C11" s="13">
        <v>3</v>
      </c>
      <c r="D11" s="17">
        <f>WORKDAY(VLOOKUP(B11,'Milestone List and Forecasts'!C:F,3,FALSE),C11)</f>
        <v>41779</v>
      </c>
    </row>
    <row r="12" spans="1:5" x14ac:dyDescent="0.25">
      <c r="A12" s="1" t="s">
        <v>142</v>
      </c>
      <c r="B12" s="1" t="s">
        <v>2</v>
      </c>
      <c r="C12" s="13">
        <v>3</v>
      </c>
      <c r="D12" s="17">
        <f>WORKDAY(VLOOKUP(B12,'Milestone List and Forecasts'!C:F,3,FALSE),C12)</f>
        <v>41782</v>
      </c>
    </row>
    <row r="13" spans="1:5" x14ac:dyDescent="0.25">
      <c r="A13" s="1" t="s">
        <v>143</v>
      </c>
      <c r="B13" s="1" t="s">
        <v>142</v>
      </c>
      <c r="C13" s="13">
        <v>3</v>
      </c>
      <c r="D13" s="17">
        <f>WORKDAY(VLOOKUP(B13,'Milestone List and Forecasts'!C:F,3,FALSE),C13)</f>
        <v>41787</v>
      </c>
    </row>
    <row r="14" spans="1:5" x14ac:dyDescent="0.25">
      <c r="A14" s="1" t="s">
        <v>21</v>
      </c>
      <c r="B14" s="1" t="s">
        <v>143</v>
      </c>
      <c r="C14" s="13">
        <v>1</v>
      </c>
      <c r="D14" s="17">
        <f>WORKDAY(VLOOKUP(B14,'Milestone List and Forecasts'!C:F,3,FALSE),C14)</f>
        <v>41788</v>
      </c>
    </row>
    <row r="15" spans="1:5" x14ac:dyDescent="0.25">
      <c r="A15" s="1" t="s">
        <v>16</v>
      </c>
      <c r="B15" s="1" t="s">
        <v>143</v>
      </c>
      <c r="C15" s="13">
        <v>1</v>
      </c>
      <c r="D15" s="17">
        <f>WORKDAY(VLOOKUP(B15,'Milestone List and Forecasts'!C:F,3,FALSE),C15)</f>
        <v>41788</v>
      </c>
    </row>
    <row r="16" spans="1:5" x14ac:dyDescent="0.25">
      <c r="A16" s="1" t="s">
        <v>16</v>
      </c>
      <c r="B16" s="1" t="s">
        <v>21</v>
      </c>
      <c r="C16" s="13">
        <v>1</v>
      </c>
      <c r="D16" s="17">
        <f>WORKDAY(VLOOKUP(B16,'Milestone List and Forecasts'!C:F,3,FALSE),C16)</f>
        <v>41789</v>
      </c>
    </row>
    <row r="17" spans="1:4" x14ac:dyDescent="0.25">
      <c r="A17" s="1" t="s">
        <v>17</v>
      </c>
      <c r="B17" s="1" t="s">
        <v>16</v>
      </c>
      <c r="C17" s="13">
        <v>0</v>
      </c>
      <c r="D17" s="17">
        <f>WORKDAY(VLOOKUP(B17,'Milestone List and Forecasts'!C:F,3,FALSE),C17)</f>
        <v>41789</v>
      </c>
    </row>
    <row r="18" spans="1:4" x14ac:dyDescent="0.25">
      <c r="A18" s="1" t="s">
        <v>19</v>
      </c>
      <c r="B18" s="1" t="s">
        <v>17</v>
      </c>
      <c r="C18" s="13">
        <v>1</v>
      </c>
      <c r="D18" s="17">
        <f>WORKDAY(VLOOKUP(B18,'Milestone List and Forecasts'!C:F,3,FALSE),C18)</f>
        <v>41792</v>
      </c>
    </row>
    <row r="19" spans="1:4" x14ac:dyDescent="0.25">
      <c r="A19" s="1" t="s">
        <v>20</v>
      </c>
      <c r="B19" s="1" t="s">
        <v>19</v>
      </c>
      <c r="C19" s="13">
        <v>1</v>
      </c>
      <c r="D19" s="17">
        <f>WORKDAY(VLOOKUP(B19,'Milestone List and Forecasts'!C:F,3,FALSE),C19)</f>
        <v>41793</v>
      </c>
    </row>
    <row r="20" spans="1:4" x14ac:dyDescent="0.25">
      <c r="A20" s="1" t="s">
        <v>23</v>
      </c>
      <c r="B20" s="1" t="s">
        <v>143</v>
      </c>
      <c r="C20" s="13">
        <v>2</v>
      </c>
      <c r="D20" s="17">
        <f>WORKDAY(VLOOKUP(B20,'Milestone List and Forecasts'!C:F,3,FALSE),C20)</f>
        <v>41789</v>
      </c>
    </row>
    <row r="21" spans="1:4" x14ac:dyDescent="0.25">
      <c r="A21" s="1" t="s">
        <v>23</v>
      </c>
      <c r="B21" s="1" t="s">
        <v>21</v>
      </c>
      <c r="C21" s="13">
        <v>2</v>
      </c>
      <c r="D21" s="17">
        <f>WORKDAY(VLOOKUP(B21,'Milestone List and Forecasts'!C:F,3,FALSE),C21)</f>
        <v>41792</v>
      </c>
    </row>
    <row r="22" spans="1:4" x14ac:dyDescent="0.25">
      <c r="A22" s="11" t="s">
        <v>74</v>
      </c>
      <c r="B22" s="1" t="s">
        <v>23</v>
      </c>
      <c r="C22" s="13">
        <v>1</v>
      </c>
      <c r="D22" s="17">
        <f>WORKDAY(VLOOKUP(B22,'Milestone List and Forecasts'!C:F,3,FALSE),C22)</f>
        <v>41793</v>
      </c>
    </row>
    <row r="23" spans="1:4" x14ac:dyDescent="0.25">
      <c r="A23" s="1" t="s">
        <v>24</v>
      </c>
      <c r="B23" s="11" t="s">
        <v>74</v>
      </c>
      <c r="C23" s="13">
        <v>1</v>
      </c>
      <c r="D23" s="17">
        <f>WORKDAY(VLOOKUP(B23,'Milestone List and Forecasts'!C:F,3,FALSE),C23)</f>
        <v>41794</v>
      </c>
    </row>
    <row r="24" spans="1:4" x14ac:dyDescent="0.25">
      <c r="A24" s="1" t="s">
        <v>24</v>
      </c>
      <c r="B24" s="1" t="s">
        <v>20</v>
      </c>
      <c r="C24" s="13">
        <v>1</v>
      </c>
      <c r="D24" s="17">
        <f>WORKDAY(VLOOKUP(B24,'Milestone List and Forecasts'!C:F,3,FALSE),C24)</f>
        <v>41794</v>
      </c>
    </row>
    <row r="25" spans="1:4" x14ac:dyDescent="0.25">
      <c r="A25" s="1" t="s">
        <v>140</v>
      </c>
      <c r="B25" s="1" t="s">
        <v>24</v>
      </c>
      <c r="C25" s="13">
        <v>1</v>
      </c>
      <c r="D25" s="17">
        <f>WORKDAY(VLOOKUP(B25,'Milestone List and Forecasts'!C:F,3,FALSE),C25)</f>
        <v>41795</v>
      </c>
    </row>
    <row r="26" spans="1:4" x14ac:dyDescent="0.25">
      <c r="A26" s="1" t="s">
        <v>141</v>
      </c>
      <c r="B26" s="1" t="s">
        <v>140</v>
      </c>
      <c r="C26" s="13">
        <v>3</v>
      </c>
      <c r="D26" s="17">
        <f>WORKDAY(VLOOKUP(B26,'Milestone List and Forecasts'!C:F,3,FALSE),C26)</f>
        <v>41800</v>
      </c>
    </row>
    <row r="27" spans="1:4" x14ac:dyDescent="0.25">
      <c r="A27" s="1" t="s">
        <v>144</v>
      </c>
      <c r="B27" s="1" t="s">
        <v>141</v>
      </c>
      <c r="C27" s="13">
        <v>3</v>
      </c>
      <c r="D27" s="17">
        <f>WORKDAY(VLOOKUP(B27,'Milestone List and Forecasts'!C:F,3,FALSE),C27)</f>
        <v>41803</v>
      </c>
    </row>
    <row r="28" spans="1:4" x14ac:dyDescent="0.25">
      <c r="A28" s="1" t="s">
        <v>60</v>
      </c>
      <c r="B28" s="1" t="s">
        <v>24</v>
      </c>
      <c r="C28" s="13">
        <v>3</v>
      </c>
      <c r="D28" s="17">
        <f>WORKDAY(VLOOKUP(B28,'Milestone List and Forecasts'!C:F,3,FALSE),C28)</f>
        <v>41799</v>
      </c>
    </row>
    <row r="29" spans="1:4" x14ac:dyDescent="0.25">
      <c r="A29" s="1" t="s">
        <v>61</v>
      </c>
      <c r="B29" s="1" t="s">
        <v>24</v>
      </c>
      <c r="C29" s="13">
        <v>3</v>
      </c>
      <c r="D29" s="17">
        <f>WORKDAY(VLOOKUP(B29,'Milestone List and Forecasts'!C:F,3,FALSE),C29)</f>
        <v>41799</v>
      </c>
    </row>
    <row r="30" spans="1:4" x14ac:dyDescent="0.25">
      <c r="A30" s="1" t="s">
        <v>27</v>
      </c>
      <c r="B30" s="1" t="s">
        <v>60</v>
      </c>
      <c r="C30" s="13">
        <v>0</v>
      </c>
      <c r="D30" s="17">
        <f>WORKDAY(VLOOKUP(B30,'Milestone List and Forecasts'!C:F,3,FALSE),C30)</f>
        <v>41799</v>
      </c>
    </row>
    <row r="31" spans="1:4" x14ac:dyDescent="0.25">
      <c r="A31" s="1" t="s">
        <v>27</v>
      </c>
      <c r="B31" s="1" t="s">
        <v>61</v>
      </c>
      <c r="C31" s="13">
        <v>0</v>
      </c>
      <c r="D31" s="17">
        <f>WORKDAY(VLOOKUP(B31,'Milestone List and Forecasts'!C:F,3,FALSE),C31)</f>
        <v>41799</v>
      </c>
    </row>
    <row r="32" spans="1:4" x14ac:dyDescent="0.25">
      <c r="A32" s="1" t="s">
        <v>28</v>
      </c>
      <c r="B32" s="1" t="s">
        <v>27</v>
      </c>
      <c r="C32" s="13">
        <v>3</v>
      </c>
      <c r="D32" s="17">
        <f>WORKDAY(VLOOKUP(B32,'Milestone List and Forecasts'!C:F,3,FALSE),C32)</f>
        <v>41802</v>
      </c>
    </row>
    <row r="33" spans="1:4" x14ac:dyDescent="0.25">
      <c r="A33" s="1" t="s">
        <v>3</v>
      </c>
      <c r="B33" s="1" t="s">
        <v>60</v>
      </c>
      <c r="C33" s="13">
        <v>2</v>
      </c>
      <c r="D33" s="17">
        <f>WORKDAY(VLOOKUP(B33,'Milestone List and Forecasts'!C:F,3,FALSE),C33)</f>
        <v>41801</v>
      </c>
    </row>
    <row r="34" spans="1:4" x14ac:dyDescent="0.25">
      <c r="A34" s="1" t="s">
        <v>3</v>
      </c>
      <c r="B34" s="1" t="s">
        <v>61</v>
      </c>
      <c r="C34" s="13">
        <v>2</v>
      </c>
      <c r="D34" s="17">
        <f>WORKDAY(VLOOKUP(B34,'Milestone List and Forecasts'!C:F,3,FALSE),C34)</f>
        <v>41801</v>
      </c>
    </row>
    <row r="35" spans="1:4" x14ac:dyDescent="0.25">
      <c r="A35" s="1" t="s">
        <v>51</v>
      </c>
      <c r="B35" s="1" t="s">
        <v>3</v>
      </c>
      <c r="C35" s="13">
        <v>1</v>
      </c>
      <c r="D35" s="17">
        <f>WORKDAY(VLOOKUP(B35,'Milestone List and Forecasts'!C:F,3,FALSE),C35)</f>
        <v>41802</v>
      </c>
    </row>
    <row r="36" spans="1:4" x14ac:dyDescent="0.25">
      <c r="A36" s="1" t="s">
        <v>29</v>
      </c>
      <c r="B36" s="1" t="s">
        <v>60</v>
      </c>
      <c r="C36" s="13">
        <v>1</v>
      </c>
      <c r="D36" s="17">
        <f>WORKDAY(VLOOKUP(B36,'Milestone List and Forecasts'!C:F,3,FALSE),C36)</f>
        <v>41800</v>
      </c>
    </row>
    <row r="37" spans="1:4" x14ac:dyDescent="0.25">
      <c r="A37" s="1" t="s">
        <v>29</v>
      </c>
      <c r="B37" s="1" t="s">
        <v>61</v>
      </c>
      <c r="C37" s="13">
        <v>1</v>
      </c>
      <c r="D37" s="17">
        <f>WORKDAY(VLOOKUP(B37,'Milestone List and Forecasts'!C:F,3,FALSE),C37)</f>
        <v>41800</v>
      </c>
    </row>
    <row r="38" spans="1:4" x14ac:dyDescent="0.25">
      <c r="A38" s="1" t="s">
        <v>4</v>
      </c>
      <c r="B38" s="1" t="s">
        <v>51</v>
      </c>
      <c r="C38" s="13">
        <v>3</v>
      </c>
      <c r="D38" s="17">
        <f>WORKDAY(VLOOKUP(B38,'Milestone List and Forecasts'!C:F,3,FALSE),C38)</f>
        <v>41807</v>
      </c>
    </row>
    <row r="39" spans="1:4" x14ac:dyDescent="0.25">
      <c r="A39" s="1" t="s">
        <v>4</v>
      </c>
      <c r="B39" s="1" t="s">
        <v>29</v>
      </c>
      <c r="C39" s="13">
        <v>3</v>
      </c>
      <c r="D39" s="17">
        <f>WORKDAY(VLOOKUP(B39,'Milestone List and Forecasts'!C:F,3,FALSE),C39)</f>
        <v>41803</v>
      </c>
    </row>
    <row r="40" spans="1:4" x14ac:dyDescent="0.25">
      <c r="A40" s="1" t="s">
        <v>62</v>
      </c>
      <c r="B40" s="1" t="s">
        <v>4</v>
      </c>
      <c r="C40" s="13">
        <v>0</v>
      </c>
      <c r="D40" s="17">
        <f>WORKDAY(VLOOKUP(B40,'Milestone List and Forecasts'!C:F,3,FALSE),C40)</f>
        <v>41807</v>
      </c>
    </row>
    <row r="41" spans="1:4" x14ac:dyDescent="0.25">
      <c r="A41" s="1" t="s">
        <v>256</v>
      </c>
      <c r="B41" s="1" t="s">
        <v>51</v>
      </c>
      <c r="C41" s="13">
        <v>2</v>
      </c>
      <c r="D41" s="17">
        <f>WORKDAY(VLOOKUP(B41,'Milestone List and Forecasts'!C:F,3,FALSE),C41)</f>
        <v>41806</v>
      </c>
    </row>
    <row r="42" spans="1:4" x14ac:dyDescent="0.25">
      <c r="A42" s="1" t="s">
        <v>256</v>
      </c>
      <c r="B42" s="1" t="s">
        <v>29</v>
      </c>
      <c r="C42" s="13">
        <v>2</v>
      </c>
      <c r="D42" s="17">
        <f>WORKDAY(VLOOKUP(B42,'Milestone List and Forecasts'!C:F,3,FALSE),C42)</f>
        <v>41802</v>
      </c>
    </row>
    <row r="43" spans="1:4" x14ac:dyDescent="0.25">
      <c r="A43" s="1" t="s">
        <v>25</v>
      </c>
      <c r="B43" s="1" t="s">
        <v>62</v>
      </c>
      <c r="C43" s="13">
        <v>0</v>
      </c>
      <c r="D43" s="17">
        <f>WORKDAY(VLOOKUP(B43,'Milestone List and Forecasts'!C:F,3,FALSE),C43)</f>
        <v>41807</v>
      </c>
    </row>
    <row r="44" spans="1:4" x14ac:dyDescent="0.25">
      <c r="A44" s="1" t="s">
        <v>25</v>
      </c>
      <c r="B44" s="1" t="s">
        <v>256</v>
      </c>
      <c r="C44" s="13">
        <v>0</v>
      </c>
      <c r="D44" s="17">
        <f>WORKDAY(VLOOKUP(B44,'Milestone List and Forecasts'!C:F,3,FALSE),C44)</f>
        <v>41806</v>
      </c>
    </row>
    <row r="45" spans="1:4" x14ac:dyDescent="0.25">
      <c r="A45" s="1" t="s">
        <v>5</v>
      </c>
      <c r="B45" s="1" t="s">
        <v>25</v>
      </c>
      <c r="C45" s="13">
        <v>0</v>
      </c>
      <c r="D45" s="17">
        <f>WORKDAY(VLOOKUP(B45,'Milestone List and Forecasts'!C:F,3,FALSE),C45)</f>
        <v>41807</v>
      </c>
    </row>
    <row r="46" spans="1:4" x14ac:dyDescent="0.25">
      <c r="A46" s="1" t="s">
        <v>6</v>
      </c>
      <c r="B46" s="1" t="s">
        <v>5</v>
      </c>
      <c r="C46" s="13">
        <v>0</v>
      </c>
      <c r="D46" s="17">
        <f>WORKDAY(VLOOKUP(B46,'Milestone List and Forecasts'!C:F,3,FALSE),C46)</f>
        <v>41807</v>
      </c>
    </row>
    <row r="47" spans="1:4" x14ac:dyDescent="0.25">
      <c r="A47" s="1" t="s">
        <v>7</v>
      </c>
      <c r="B47" s="1" t="s">
        <v>6</v>
      </c>
      <c r="C47" s="13">
        <v>5</v>
      </c>
      <c r="D47" s="17">
        <f>WORKDAY(VLOOKUP(B47,'Milestone List and Forecasts'!C:F,3,FALSE),C47)</f>
        <v>41814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zoomScale="80" zoomScaleNormal="80" workbookViewId="0"/>
  </sheetViews>
  <sheetFormatPr defaultColWidth="30.7109375" defaultRowHeight="15" x14ac:dyDescent="0.25"/>
  <cols>
    <col min="1" max="2" width="50.7109375" customWidth="1"/>
    <col min="3" max="4" width="12.5703125" style="14" customWidth="1"/>
  </cols>
  <sheetData>
    <row r="1" spans="1:3" s="2" customFormat="1" ht="45" x14ac:dyDescent="0.25">
      <c r="A1" s="2" t="s">
        <v>85</v>
      </c>
      <c r="B1" s="2" t="s">
        <v>87</v>
      </c>
      <c r="C1" s="2" t="s">
        <v>86</v>
      </c>
    </row>
    <row r="2" spans="1:3" x14ac:dyDescent="0.25">
      <c r="A2" t="s">
        <v>0</v>
      </c>
      <c r="B2" t="s">
        <v>1</v>
      </c>
      <c r="C2" s="14">
        <v>3</v>
      </c>
    </row>
    <row r="3" spans="1:3" x14ac:dyDescent="0.25">
      <c r="A3" t="s">
        <v>21</v>
      </c>
      <c r="B3" s="1" t="s">
        <v>23</v>
      </c>
      <c r="C3" s="14">
        <v>2</v>
      </c>
    </row>
    <row r="4" spans="1:3" x14ac:dyDescent="0.25">
      <c r="A4" s="1" t="s">
        <v>23</v>
      </c>
      <c r="B4" s="1" t="s">
        <v>24</v>
      </c>
      <c r="C4" s="14">
        <v>2</v>
      </c>
    </row>
    <row r="5" spans="1:3" x14ac:dyDescent="0.25">
      <c r="A5" t="s">
        <v>27</v>
      </c>
      <c r="B5" s="1" t="s">
        <v>28</v>
      </c>
      <c r="C5" s="1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Login</vt:lpstr>
      <vt:lpstr>Projects</vt:lpstr>
      <vt:lpstr>Add Project</vt:lpstr>
      <vt:lpstr>Sites</vt:lpstr>
      <vt:lpstr>Add Site</vt:lpstr>
      <vt:lpstr>SE03XC438</vt:lpstr>
      <vt:lpstr>SP-MOD-003-WA - Milestones</vt:lpstr>
      <vt:lpstr>SP-MOD-003-WA - Header</vt:lpstr>
      <vt:lpstr>SAP Submitted - Docs</vt:lpstr>
      <vt:lpstr>Orders</vt:lpstr>
      <vt:lpstr>1014 - Bid Details</vt:lpstr>
      <vt:lpstr>1014 - Bid Header</vt:lpstr>
      <vt:lpstr>1014 - PO Details</vt:lpstr>
      <vt:lpstr>1014 - PO Header</vt:lpstr>
      <vt:lpstr>SP-MOD-003-WA - Docs</vt:lpstr>
      <vt:lpstr>Milestone List and Forecasts</vt:lpstr>
      <vt:lpstr>Dependencies and Lead-Times</vt:lpstr>
      <vt:lpstr>Time Constraints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Bjorn Burlin - 3SN</dc:creator>
  <cp:lastModifiedBy>Bjorn Burlin - 3SN</cp:lastModifiedBy>
  <dcterms:created xsi:type="dcterms:W3CDTF">2014-05-02T15:11:32Z</dcterms:created>
  <dcterms:modified xsi:type="dcterms:W3CDTF">2014-05-28T22:53:29Z</dcterms:modified>
</cp:coreProperties>
</file>